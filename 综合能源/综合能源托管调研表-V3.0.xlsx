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40" windowHeight="11775" tabRatio="646" firstSheet="3" activeTab="5"/>
  </bookViews>
  <sheets>
    <sheet name="表1 院区及楼栋基本信息" sheetId="1" r:id="rId1"/>
    <sheet name="附表1  用能数据统计表样表" sheetId="5" r:id="rId2"/>
    <sheet name="表2-1空调系统冷源调研表" sheetId="6" r:id="rId3"/>
    <sheet name="表2-2空调系统热源调研表" sheetId="7" r:id="rId4"/>
    <sheet name="表2-4生活热水系统调研表" sheetId="9" r:id="rId5"/>
    <sheet name="表2-5电梯统计表" sheetId="12" r:id="rId6"/>
    <sheet name="表2-6 配电系统调研表" sheetId="11" r:id="rId7"/>
    <sheet name="表2-7 厨房设备调研表" sheetId="14" r:id="rId8"/>
    <sheet name="表2-8 其他情况调研表" sheetId="13" r:id="rId9"/>
    <sheet name="表2-9 给排水设备调研表 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<sst xmlns="http://schemas.openxmlformats.org/spreadsheetml/2006/main" count="462" uniqueCount="266">
  <si>
    <t>项目能源系统收资表</t>
  </si>
  <si>
    <t>建筑名称</t>
  </si>
  <si>
    <t>建筑地点</t>
  </si>
  <si>
    <t>建筑规模</t>
  </si>
  <si>
    <r>
      <rPr>
        <sz val="10"/>
        <color rgb="FF000000"/>
        <rFont val="宋体"/>
        <charset val="134"/>
      </rPr>
      <t>总建筑面积：</t>
    </r>
    <r>
      <rPr>
        <u/>
        <sz val="10"/>
        <color rgb="FF000000"/>
        <rFont val="宋体"/>
        <charset val="134"/>
      </rPr>
      <t xml:space="preserve">   </t>
    </r>
    <r>
      <rPr>
        <sz val="10"/>
        <color rgb="FF000000"/>
        <rFont val="宋体"/>
        <charset val="134"/>
      </rPr>
      <t>万㎡（地上</t>
    </r>
    <r>
      <rPr>
        <u/>
        <sz val="10"/>
        <color rgb="FF000000"/>
        <rFont val="宋体"/>
        <charset val="134"/>
      </rPr>
      <t xml:space="preserve">：   </t>
    </r>
    <r>
      <rPr>
        <sz val="10"/>
        <color rgb="FF000000"/>
        <rFont val="宋体"/>
        <charset val="134"/>
      </rPr>
      <t>万㎡，地下：</t>
    </r>
    <r>
      <rPr>
        <u/>
        <sz val="10"/>
        <color rgb="FF000000"/>
        <rFont val="宋体"/>
        <charset val="134"/>
      </rPr>
      <t xml:space="preserve">   万㎡)</t>
    </r>
  </si>
  <si>
    <t>启用时间</t>
  </si>
  <si>
    <r>
      <rPr>
        <u/>
        <sz val="10"/>
        <color rgb="FF000000"/>
        <rFont val="宋体"/>
        <charset val="134"/>
      </rPr>
      <t xml:space="preserve">        </t>
    </r>
    <r>
      <rPr>
        <sz val="10"/>
        <color rgb="FF000000"/>
        <rFont val="宋体"/>
        <charset val="134"/>
      </rPr>
      <t>年</t>
    </r>
  </si>
  <si>
    <r>
      <rPr>
        <sz val="10"/>
        <color rgb="FF000000"/>
        <rFont val="宋体"/>
        <charset val="134"/>
      </rPr>
      <t>职工人数</t>
    </r>
    <r>
      <rPr>
        <u/>
        <sz val="10"/>
        <color rgb="FF000000"/>
        <rFont val="宋体"/>
        <charset val="134"/>
      </rPr>
      <t xml:space="preserve">      人</t>
    </r>
    <r>
      <rPr>
        <sz val="10"/>
        <color rgb="FF000000"/>
        <rFont val="宋体"/>
        <charset val="134"/>
      </rPr>
      <t>，后勤维保人数</t>
    </r>
    <r>
      <rPr>
        <u/>
        <sz val="10"/>
        <color rgb="FF000000"/>
        <rFont val="宋体"/>
        <charset val="134"/>
      </rPr>
      <t>：    人，</t>
    </r>
    <r>
      <rPr>
        <sz val="10"/>
        <color rgb="FF000000"/>
        <rFont val="宋体"/>
        <charset val="134"/>
      </rPr>
      <t>维保人员工资</t>
    </r>
    <r>
      <rPr>
        <u/>
        <sz val="10"/>
        <color rgb="FF000000"/>
        <rFont val="宋体"/>
        <charset val="134"/>
      </rPr>
      <t xml:space="preserve">        </t>
    </r>
    <r>
      <rPr>
        <sz val="10"/>
        <color rgb="FF000000"/>
        <rFont val="宋体"/>
        <charset val="134"/>
      </rPr>
      <t>元/年（或外包服务费用），年运维/设备保养费用：</t>
    </r>
    <r>
      <rPr>
        <u/>
        <sz val="10"/>
        <color rgb="FF000000"/>
        <rFont val="宋体"/>
        <charset val="134"/>
      </rPr>
      <t xml:space="preserve">        </t>
    </r>
  </si>
  <si>
    <t>经济指标</t>
  </si>
  <si>
    <r>
      <t>上年度能源费用：</t>
    </r>
    <r>
      <rPr>
        <u/>
        <sz val="10"/>
        <color rgb="FF000000"/>
        <rFont val="宋体"/>
        <charset val="134"/>
      </rPr>
      <t xml:space="preserve">  1289908.31     </t>
    </r>
    <r>
      <rPr>
        <sz val="10"/>
        <color rgb="FF000000"/>
        <rFont val="宋体"/>
        <charset val="134"/>
      </rPr>
      <t>元/年，其中包含：</t>
    </r>
  </si>
  <si>
    <r>
      <t>电：</t>
    </r>
    <r>
      <rPr>
        <u/>
        <sz val="10"/>
        <color rgb="FF000000"/>
        <rFont val="宋体"/>
        <charset val="134"/>
      </rPr>
      <t xml:space="preserve">       1132916.88    </t>
    </r>
    <r>
      <rPr>
        <sz val="10"/>
        <color rgb="FF000000"/>
        <rFont val="宋体"/>
        <charset val="134"/>
      </rPr>
      <t>元/年；天然气：</t>
    </r>
    <r>
      <rPr>
        <u/>
        <sz val="10"/>
        <color rgb="FF000000"/>
        <rFont val="宋体"/>
        <charset val="134"/>
      </rPr>
      <t xml:space="preserve">     45653.59     </t>
    </r>
    <r>
      <rPr>
        <sz val="10"/>
        <color rgb="FF000000"/>
        <rFont val="宋体"/>
        <charset val="134"/>
      </rPr>
      <t>元/年；水：</t>
    </r>
    <r>
      <rPr>
        <u/>
        <sz val="10"/>
        <color rgb="FF000000"/>
        <rFont val="宋体"/>
        <charset val="134"/>
      </rPr>
      <t xml:space="preserve">  111337.84  </t>
    </r>
    <r>
      <rPr>
        <sz val="10"/>
        <color rgb="FF000000"/>
        <rFont val="宋体"/>
        <charset val="134"/>
      </rPr>
      <t>元/年；</t>
    </r>
  </si>
  <si>
    <r>
      <rPr>
        <sz val="10"/>
        <color rgb="FF000000"/>
        <rFont val="宋体"/>
        <charset val="134"/>
      </rPr>
      <t>供热：</t>
    </r>
    <r>
      <rPr>
        <u/>
        <sz val="10"/>
        <color rgb="FF000000"/>
        <rFont val="宋体"/>
        <charset val="134"/>
      </rPr>
      <t xml:space="preserve">        </t>
    </r>
    <r>
      <rPr>
        <sz val="10"/>
        <color rgb="FF000000"/>
        <rFont val="宋体"/>
        <charset val="134"/>
      </rPr>
      <t>元/年；其他外购能源：</t>
    </r>
    <r>
      <rPr>
        <u/>
        <sz val="10"/>
        <color rgb="FF000000"/>
        <rFont val="宋体"/>
        <charset val="134"/>
      </rPr>
      <t xml:space="preserve">     </t>
    </r>
    <r>
      <rPr>
        <sz val="10"/>
        <color rgb="FF000000"/>
        <rFont val="宋体"/>
        <charset val="134"/>
      </rPr>
      <t>元/年；</t>
    </r>
  </si>
  <si>
    <r>
      <rPr>
        <b/>
        <sz val="10"/>
        <color rgb="FF000000"/>
        <rFont val="宋体"/>
        <charset val="134"/>
      </rPr>
      <t>电价：</t>
    </r>
    <r>
      <rPr>
        <sz val="10"/>
        <color rgb="FF000000"/>
        <rFont val="宋体"/>
        <charset val="134"/>
      </rPr>
      <t>□单一电价：</t>
    </r>
    <r>
      <rPr>
        <u/>
        <sz val="10"/>
        <color rgb="FF000000"/>
        <rFont val="宋体"/>
        <charset val="134"/>
      </rPr>
      <t xml:space="preserve">      </t>
    </r>
    <r>
      <rPr>
        <sz val="10"/>
        <color rgb="FF000000"/>
        <rFont val="宋体"/>
        <charset val="134"/>
      </rPr>
      <t>元/kwh。□两步制：</t>
    </r>
    <r>
      <rPr>
        <u/>
        <sz val="10"/>
        <color rgb="FF000000"/>
        <rFont val="宋体"/>
        <charset val="134"/>
      </rPr>
      <t xml:space="preserve">                   。</t>
    </r>
  </si>
  <si>
    <r>
      <rPr>
        <sz val="10"/>
        <color rgb="FF000000"/>
        <rFont val="宋体"/>
        <charset val="134"/>
      </rPr>
      <t>□峰谷电价（元/kwh）：尖峰</t>
    </r>
    <r>
      <rPr>
        <u/>
        <sz val="10"/>
        <color rgb="FF000000"/>
        <rFont val="宋体"/>
        <charset val="134"/>
      </rPr>
      <t xml:space="preserve">     </t>
    </r>
    <r>
      <rPr>
        <sz val="10"/>
        <color rgb="FF000000"/>
        <rFont val="宋体"/>
        <charset val="134"/>
      </rPr>
      <t>；峰段</t>
    </r>
    <r>
      <rPr>
        <u/>
        <sz val="10"/>
        <color rgb="FF000000"/>
        <rFont val="宋体"/>
        <charset val="134"/>
      </rPr>
      <t xml:space="preserve">     </t>
    </r>
    <r>
      <rPr>
        <sz val="10"/>
        <color rgb="FF000000"/>
        <rFont val="宋体"/>
        <charset val="134"/>
      </rPr>
      <t>；平段</t>
    </r>
    <r>
      <rPr>
        <u/>
        <sz val="10"/>
        <color rgb="FF000000"/>
        <rFont val="宋体"/>
        <charset val="134"/>
      </rPr>
      <t xml:space="preserve">     </t>
    </r>
    <r>
      <rPr>
        <sz val="10"/>
        <color rgb="FF000000"/>
        <rFont val="宋体"/>
        <charset val="134"/>
      </rPr>
      <t>；谷段</t>
    </r>
    <r>
      <rPr>
        <u/>
        <sz val="10"/>
        <color rgb="FF000000"/>
        <rFont val="宋体"/>
        <charset val="134"/>
      </rPr>
      <t xml:space="preserve">     </t>
    </r>
    <r>
      <rPr>
        <sz val="10"/>
        <color rgb="FF000000"/>
        <rFont val="宋体"/>
        <charset val="134"/>
      </rPr>
      <t>；</t>
    </r>
    <r>
      <rPr>
        <u/>
        <sz val="10"/>
        <color rgb="FF000000"/>
        <rFont val="宋体"/>
        <charset val="134"/>
      </rPr>
      <t xml:space="preserve">   </t>
    </r>
  </si>
  <si>
    <r>
      <rPr>
        <b/>
        <sz val="10"/>
        <color rgb="FF000000"/>
        <rFont val="宋体"/>
        <charset val="134"/>
      </rPr>
      <t>天然气：</t>
    </r>
    <r>
      <rPr>
        <u/>
        <sz val="10"/>
        <color rgb="FF000000"/>
        <rFont val="宋体"/>
        <charset val="134"/>
      </rPr>
      <t xml:space="preserve">          </t>
    </r>
    <r>
      <rPr>
        <sz val="10"/>
        <color rgb="FF000000"/>
        <rFont val="宋体"/>
        <charset val="134"/>
      </rPr>
      <t>元/m</t>
    </r>
    <r>
      <rPr>
        <vertAlign val="superscript"/>
        <sz val="10"/>
        <color rgb="FF000000"/>
        <rFont val="宋体"/>
        <charset val="134"/>
      </rPr>
      <t>3</t>
    </r>
    <r>
      <rPr>
        <sz val="10"/>
        <color rgb="FF000000"/>
        <rFont val="宋体"/>
        <charset val="134"/>
      </rPr>
      <t>、</t>
    </r>
  </si>
  <si>
    <r>
      <rPr>
        <b/>
        <sz val="10"/>
        <color rgb="FF000000"/>
        <rFont val="宋体"/>
        <charset val="134"/>
      </rPr>
      <t>自来水：</t>
    </r>
    <r>
      <rPr>
        <u/>
        <sz val="10"/>
        <color rgb="FF000000"/>
        <rFont val="宋体"/>
        <charset val="134"/>
      </rPr>
      <t xml:space="preserve">        </t>
    </r>
    <r>
      <rPr>
        <sz val="10"/>
        <color rgb="FF000000"/>
        <rFont val="宋体"/>
        <charset val="134"/>
      </rPr>
      <t>元/吨；</t>
    </r>
  </si>
  <si>
    <r>
      <rPr>
        <b/>
        <sz val="10"/>
        <color rgb="FF000000"/>
        <rFont val="宋体"/>
        <charset val="134"/>
      </rPr>
      <t>热力：</t>
    </r>
    <r>
      <rPr>
        <sz val="10"/>
        <color rgb="FF000000"/>
        <rFont val="宋体"/>
        <charset val="134"/>
      </rPr>
      <t>□面积收费：</t>
    </r>
    <r>
      <rPr>
        <u/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元/m</t>
    </r>
    <r>
      <rPr>
        <vertAlign val="superscript"/>
        <sz val="10"/>
        <color rgb="FF000000"/>
        <rFont val="宋体"/>
        <charset val="134"/>
      </rPr>
      <t>2</t>
    </r>
    <r>
      <rPr>
        <sz val="10"/>
        <color rgb="FF000000"/>
        <rFont val="宋体"/>
        <charset val="134"/>
      </rPr>
      <t>；□热计量：基础费</t>
    </r>
    <r>
      <rPr>
        <u/>
        <sz val="10"/>
        <color rgb="FF000000"/>
        <rFont val="宋体"/>
        <charset val="134"/>
      </rPr>
      <t xml:space="preserve">   </t>
    </r>
    <r>
      <rPr>
        <sz val="10"/>
        <color rgb="FF000000"/>
        <rFont val="宋体"/>
        <charset val="134"/>
      </rPr>
      <t>元/m</t>
    </r>
    <r>
      <rPr>
        <vertAlign val="superscript"/>
        <sz val="10"/>
        <color rgb="FF000000"/>
        <rFont val="宋体"/>
        <charset val="134"/>
      </rPr>
      <t>2</t>
    </r>
    <r>
      <rPr>
        <sz val="10"/>
        <color rgb="FF000000"/>
        <rFont val="宋体"/>
        <charset val="134"/>
      </rPr>
      <t>+热计量</t>
    </r>
    <r>
      <rPr>
        <u/>
        <sz val="10"/>
        <color rgb="FF000000"/>
        <rFont val="宋体"/>
        <charset val="134"/>
      </rPr>
      <t xml:space="preserve">    </t>
    </r>
    <r>
      <rPr>
        <sz val="10"/>
        <color rgb="FF000000"/>
        <rFont val="宋体"/>
        <charset val="134"/>
      </rPr>
      <t>元/GJ</t>
    </r>
  </si>
  <si>
    <t>项目现状</t>
  </si>
  <si>
    <t>是否实施过节能改造项目？</t>
  </si>
  <si>
    <t xml:space="preserve">□否 </t>
  </si>
  <si>
    <r>
      <rPr>
        <sz val="10"/>
        <color rgb="FF000000"/>
        <rFont val="宋体"/>
        <charset val="134"/>
      </rPr>
      <t>□是，改造时间：</t>
    </r>
    <r>
      <rPr>
        <u/>
        <sz val="10"/>
        <color rgb="FF000000"/>
        <rFont val="宋体"/>
        <charset val="134"/>
      </rPr>
      <t xml:space="preserve">           </t>
    </r>
    <r>
      <rPr>
        <sz val="10"/>
        <color rgb="FF000000"/>
        <rFont val="宋体"/>
        <charset val="134"/>
      </rPr>
      <t>年；改造内容：</t>
    </r>
    <r>
      <rPr>
        <u/>
        <sz val="10"/>
        <color rgb="FF000000"/>
        <rFont val="宋体"/>
        <charset val="134"/>
      </rPr>
      <t xml:space="preserve">                                                 </t>
    </r>
    <r>
      <rPr>
        <sz val="10"/>
        <color rgb="FF000000"/>
        <rFont val="宋体"/>
        <charset val="134"/>
      </rPr>
      <t>；</t>
    </r>
  </si>
  <si>
    <t xml:space="preserve">      实施方式：□自行出资    □节能分享    □能源托管</t>
  </si>
  <si>
    <t>未来1~3年有无搬迁、重大装修或改扩建计划</t>
  </si>
  <si>
    <t xml:space="preserve">□无 </t>
  </si>
  <si>
    <r>
      <rPr>
        <sz val="10"/>
        <color rgb="FF000000"/>
        <rFont val="宋体"/>
        <charset val="134"/>
      </rPr>
      <t>□有，计划内：</t>
    </r>
    <r>
      <rPr>
        <u/>
        <sz val="10"/>
        <color rgb="FF000000"/>
        <rFont val="宋体"/>
        <charset val="134"/>
      </rPr>
      <t xml:space="preserve">                                                                         </t>
    </r>
  </si>
  <si>
    <t>其他资料
格式自拟</t>
  </si>
  <si>
    <t>1.请提供建筑近几年的逐月能耗信息（详见附表1用能数据统计表），或自拟格式。
2.请提供近三年的水电气热等能源的原始缴费单据复印件照片
3.请提供建筑各主要建筑的施工图或竣工图。
4.请提供建筑主要能源系统外包运维的范围及价格。</t>
  </si>
  <si>
    <t>填写范例</t>
  </si>
  <si>
    <t>建筑基本概况</t>
  </si>
  <si>
    <t>建筑名称/楼号</t>
  </si>
  <si>
    <t>XX医院门急诊楼</t>
  </si>
  <si>
    <t>XX医院住院楼</t>
  </si>
  <si>
    <t>主要功能</t>
  </si>
  <si>
    <t>门急诊</t>
  </si>
  <si>
    <t>住院部</t>
  </si>
  <si>
    <t>分层主要功能</t>
  </si>
  <si>
    <t>1-2层东区急诊，1-6层门诊，7-8层行政办公</t>
  </si>
  <si>
    <t>1-3层门诊，4-20层住院21层手术室</t>
  </si>
  <si>
    <t>投用时间</t>
  </si>
  <si>
    <t>2010年</t>
  </si>
  <si>
    <t>2005年</t>
  </si>
  <si>
    <t>总建筑面积（㎡）</t>
  </si>
  <si>
    <t>5.5万</t>
  </si>
  <si>
    <t>3.5万</t>
  </si>
  <si>
    <t>建筑层数（层）</t>
  </si>
  <si>
    <t>地上8层，地下2层</t>
  </si>
  <si>
    <t>地上21层，地下3层</t>
  </si>
  <si>
    <t>每日工作时间</t>
  </si>
  <si>
    <t>每周五天</t>
  </si>
  <si>
    <t>每周七天</t>
  </si>
  <si>
    <t>每周工作天数</t>
  </si>
  <si>
    <t>8：00~18:00</t>
  </si>
  <si>
    <t>24小时运行</t>
  </si>
  <si>
    <t>空调冷热源</t>
  </si>
  <si>
    <t>末端形式</t>
  </si>
  <si>
    <t>□风机盘管+新风系统
□全空气系统
□分体空调
□多联机</t>
  </si>
  <si>
    <t>风盘数量：
新风机数量：
组空数量：</t>
  </si>
  <si>
    <t>风盘功率：
新风机功率：
组空功率：</t>
  </si>
  <si>
    <t xml:space="preserve">使用及控制情况描述：
</t>
  </si>
  <si>
    <t>☑风机盘管+新风系统
□全空气系统
□分体空调
□多联机</t>
  </si>
  <si>
    <t>空调冷源形式</t>
  </si>
  <si>
    <t>□水冷机组
□风冷热泵机组
□溴化锂机组
□水源/地源热泵</t>
  </si>
  <si>
    <t>☑水冷机组
□风冷热泵机组
□溴化锂机组
□水源/地源热泵</t>
  </si>
  <si>
    <t>空调热源形式</t>
  </si>
  <si>
    <t>□市政供暖
□燃气锅炉
□燃气溴化锂机组
□空气源机组
□水源/地源热泵</t>
  </si>
  <si>
    <t>☑市政供暖
□燃气锅炉
□燃气溴化锂机组
□空气源机组
□水源/地源热泵</t>
  </si>
  <si>
    <t>生活热水</t>
  </si>
  <si>
    <t>生活热水形式</t>
  </si>
  <si>
    <t>□分散电热水器
□空气源热泵
□燃气热水锅炉
□燃气蒸汽锅炉
□太阳能热水</t>
  </si>
  <si>
    <t>□分散电热水器
☑空气源热泵
□燃气热水锅炉
□燃气蒸汽锅炉
☑太阳能热水</t>
  </si>
  <si>
    <t>□分散电热水器
☑空气源热泵
□燃气热水锅炉
□燃气蒸汽锅炉
□太阳能热水</t>
  </si>
  <si>
    <t>每日运行时间</t>
  </si>
  <si>
    <t>每周一至周五下午</t>
  </si>
  <si>
    <t>饮用开水</t>
  </si>
  <si>
    <t>开水器形式</t>
  </si>
  <si>
    <t>□分散电开水器
□蒸汽开水器</t>
  </si>
  <si>
    <t>☑分散电开水器
□蒸汽开水器</t>
  </si>
  <si>
    <t>照明系统</t>
  </si>
  <si>
    <t>□节能灯
□LED灯无智能控制
□LED灯加智能控制</t>
  </si>
  <si>
    <t>灯具数量：</t>
  </si>
  <si>
    <t>功率：</t>
  </si>
  <si>
    <t>开灯时间：</t>
  </si>
  <si>
    <t>□节能灯
☑LED灯无智能控制
□LED灯加智能控制</t>
  </si>
  <si>
    <r>
      <rPr>
        <b/>
        <u/>
        <sz val="15"/>
        <color rgb="FF000000"/>
        <rFont val="宋体"/>
        <charset val="134"/>
      </rPr>
      <t xml:space="preserve">              </t>
    </r>
    <r>
      <rPr>
        <b/>
        <sz val="15"/>
        <color rgb="FF000000"/>
        <rFont val="宋体"/>
        <charset val="134"/>
      </rPr>
      <t>建筑</t>
    </r>
  </si>
  <si>
    <t>年</t>
  </si>
  <si>
    <t>用能数据统计表</t>
  </si>
  <si>
    <t>月份</t>
  </si>
  <si>
    <t>耗电量</t>
  </si>
  <si>
    <t>消耗水量</t>
  </si>
  <si>
    <t>消耗燃气量</t>
  </si>
  <si>
    <t>冬季供热耗热量</t>
  </si>
  <si>
    <t>其他能源支出</t>
  </si>
  <si>
    <t>耗电量(kwh）</t>
  </si>
  <si>
    <t>金额（元）</t>
  </si>
  <si>
    <t>耗水量（吨）</t>
  </si>
  <si>
    <t>耗气量（立方米）</t>
  </si>
  <si>
    <t>金额元</t>
  </si>
  <si>
    <t>耗热量（GJ）</t>
  </si>
  <si>
    <t>供暖费用（元）</t>
  </si>
  <si>
    <t>支出项目说明</t>
  </si>
  <si>
    <t>费用（元）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</si>
  <si>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</si>
  <si>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</si>
  <si>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</si>
  <si>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</si>
  <si>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</si>
  <si>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</si>
  <si>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</si>
  <si>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</si>
  <si>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</si>
  <si>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</si>
  <si>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</si>
  <si>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</si>
  <si>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合计</t>
  </si>
  <si>
    <t>注：每栋建筑提供用能发票</t>
  </si>
  <si>
    <t>表2-1空调系统冷源调研表</t>
  </si>
  <si>
    <t>机房名称</t>
  </si>
  <si>
    <t>XX制冷机房</t>
  </si>
  <si>
    <t>不同机房建议不同shett填写</t>
  </si>
  <si>
    <t>负责楼栋</t>
  </si>
  <si>
    <t>投运时间</t>
  </si>
  <si>
    <t>2021年</t>
  </si>
  <si>
    <t>开始结束月份</t>
  </si>
  <si>
    <t>5.1开始，10.1结束</t>
  </si>
  <si>
    <t>每周七天/24小时运行</t>
  </si>
  <si>
    <t>冷机参数</t>
  </si>
  <si>
    <t>冷水机组名称</t>
  </si>
  <si>
    <t>制冷量 KW</t>
  </si>
  <si>
    <t>功率 KW</t>
  </si>
  <si>
    <t>COP</t>
  </si>
  <si>
    <t>数量</t>
  </si>
  <si>
    <t>品牌</t>
  </si>
  <si>
    <t>生产日期</t>
  </si>
  <si>
    <t>螺杆冷水机组</t>
  </si>
  <si>
    <t>麦克维尔</t>
  </si>
  <si>
    <t>2016年</t>
  </si>
  <si>
    <t>日常开启情况及水温</t>
  </si>
  <si>
    <t>平时1台，极端2台；水泵7-8月7度，其他月8度</t>
  </si>
  <si>
    <t>冷冻水泵参数</t>
  </si>
  <si>
    <t>冷冻泵名称</t>
  </si>
  <si>
    <t>流量 m3/h</t>
  </si>
  <si>
    <t>扬程 M</t>
  </si>
  <si>
    <t>冷冻水泵</t>
  </si>
  <si>
    <t>南方</t>
  </si>
  <si>
    <t>冷冻泵开启数量及变频情况</t>
  </si>
  <si>
    <t>平时1台，极端2台；有变频器，自动调频运行</t>
  </si>
  <si>
    <t>冷却水泵参数</t>
  </si>
  <si>
    <t>冷却泵名称</t>
  </si>
  <si>
    <t>冷却泵开启数量及变频情况</t>
  </si>
  <si>
    <t>平时1台，极端2台；无变频器，定频运行</t>
  </si>
  <si>
    <t>冷却塔参数</t>
  </si>
  <si>
    <t>冷却塔名称</t>
  </si>
  <si>
    <t>/</t>
  </si>
  <si>
    <t>横流冷却塔</t>
  </si>
  <si>
    <t>5.5*2</t>
  </si>
  <si>
    <t>新纯江</t>
  </si>
  <si>
    <t>冷却塔开启数量及变频情况</t>
  </si>
  <si>
    <t>平时2台，极端4台；无变频器，定频运行</t>
  </si>
  <si>
    <t>主机与水泵连接情况</t>
  </si>
  <si>
    <t>□每台主机对应一台水泵
□主机与水泵间母管连接</t>
  </si>
  <si>
    <t>主机电动阀情况</t>
  </si>
  <si>
    <t>□主机水侧有电动开关阀
□主机水侧无电动开关阀</t>
  </si>
  <si>
    <t>自控系统情况</t>
  </si>
  <si>
    <t>□无自控系统 □有自控系统，不能使用
□有自控系统，可正常自动模式运行</t>
  </si>
  <si>
    <t>机房分项计量情况</t>
  </si>
  <si>
    <t>□无机房任何计量
□仅机房总耗电量计量
□各设备均有分项计量</t>
  </si>
  <si>
    <t>分集水器情况</t>
  </si>
  <si>
    <t>共有1组分水器和1组集水器，共4个回路：
XX回路</t>
  </si>
  <si>
    <t>其他情况（根据现场情况自行填写）：</t>
  </si>
  <si>
    <t>可写本项目特殊情况，
例如：
末端是否采用四管制系统
是否有蓄冷/蓄热系统
是否</t>
  </si>
  <si>
    <t>注： 如系统形式表中体现不全，可自行扩充。</t>
  </si>
  <si>
    <t>表2-2空调系统热源调研表</t>
  </si>
  <si>
    <t>1号换热站（填写范例）</t>
  </si>
  <si>
    <t>11.15开始，3.15结束</t>
  </si>
  <si>
    <t>市政换热机组</t>
  </si>
  <si>
    <t>换热器形式</t>
  </si>
  <si>
    <t>一次侧供回水温度</t>
  </si>
  <si>
    <t>二次侧供回水温度</t>
  </si>
  <si>
    <t>低区换热器</t>
  </si>
  <si>
    <t>板换</t>
  </si>
  <si>
    <t>高区换热器</t>
  </si>
  <si>
    <t>日常开启数量及水温情况</t>
  </si>
  <si>
    <t>一二次侧有无调节阀
日常运行情况，水温设置等</t>
  </si>
  <si>
    <t>供暖循环泵</t>
  </si>
  <si>
    <t>水泵名称</t>
  </si>
  <si>
    <t>锅炉一次泵</t>
  </si>
  <si>
    <t>锅炉二次泵</t>
  </si>
  <si>
    <t>循环泵开启数量及变频情况</t>
  </si>
  <si>
    <t>燃气锅炉</t>
  </si>
  <si>
    <t>锅炉名称</t>
  </si>
  <si>
    <r>
      <rPr>
        <b/>
        <sz val="10"/>
        <color rgb="FF000000"/>
        <rFont val="宋体"/>
        <charset val="134"/>
      </rPr>
      <t>额定供热量</t>
    </r>
    <r>
      <rPr>
        <sz val="10"/>
        <color theme="1"/>
        <rFont val="Times New Roman"/>
        <charset val="134"/>
      </rPr>
      <t xml:space="preserve"> KW</t>
    </r>
  </si>
  <si>
    <t>供回水温度</t>
  </si>
  <si>
    <r>
      <rPr>
        <b/>
        <sz val="10"/>
        <color rgb="FF000000"/>
        <rFont val="宋体"/>
        <charset val="134"/>
      </rPr>
      <t>锅炉功率</t>
    </r>
    <r>
      <rPr>
        <sz val="10"/>
        <color theme="1"/>
        <rFont val="Times New Roman"/>
        <charset val="134"/>
      </rPr>
      <t xml:space="preserve">
KW</t>
    </r>
  </si>
  <si>
    <t>真空锅炉1</t>
  </si>
  <si>
    <t>锅炉开启数量及水温情况</t>
  </si>
  <si>
    <t>锅炉循环泵</t>
  </si>
  <si>
    <t>空气源热泵</t>
  </si>
  <si>
    <t>热泵名称</t>
  </si>
  <si>
    <r>
      <rPr>
        <b/>
        <sz val="10"/>
        <color rgb="FF000000"/>
        <rFont val="宋体"/>
        <charset val="134"/>
      </rPr>
      <t>额定功率</t>
    </r>
    <r>
      <rPr>
        <sz val="10"/>
        <color theme="1"/>
        <rFont val="Times New Roman"/>
        <charset val="134"/>
      </rPr>
      <t>KW</t>
    </r>
  </si>
  <si>
    <t>住院楼热泵</t>
  </si>
  <si>
    <t>开启数量及水温情况</t>
  </si>
  <si>
    <t>循环泵</t>
  </si>
  <si>
    <t>□无自控系统
□有自控，不能使用
□有自控系统，可正常自动模式运行</t>
  </si>
  <si>
    <t>其他：</t>
  </si>
  <si>
    <t>注1：如市政供暖，锅炉及锅炉二次泵参数可不填写；同理锅炉供暖时市政供暖相关内容可不填写</t>
  </si>
  <si>
    <t>注2： 如系统形式表中体现不全，可自行扩充。</t>
  </si>
  <si>
    <t>表2-4生活热水系统调研表</t>
  </si>
  <si>
    <r>
      <rPr>
        <sz val="10"/>
        <color rgb="FFFF0000"/>
        <rFont val="宋体"/>
        <charset val="134"/>
      </rPr>
      <t>3</t>
    </r>
    <r>
      <rPr>
        <sz val="10"/>
        <color rgb="FFFF0000"/>
        <rFont val="宋体"/>
        <charset val="134"/>
      </rPr>
      <t>号机房（填写范例）</t>
    </r>
  </si>
  <si>
    <r>
      <rPr>
        <sz val="10"/>
        <color rgb="FFFF0000"/>
        <rFont val="宋体"/>
        <charset val="134"/>
      </rPr>
      <t>2015</t>
    </r>
    <r>
      <rPr>
        <sz val="10"/>
        <color rgb="FFFF0000"/>
        <rFont val="宋体"/>
        <charset val="134"/>
      </rPr>
      <t>年</t>
    </r>
  </si>
  <si>
    <t>生活热水区域</t>
  </si>
  <si>
    <t>XX楼 XX楼</t>
  </si>
  <si>
    <t>生活热水供应时间</t>
  </si>
  <si>
    <r>
      <rPr>
        <sz val="10"/>
        <color rgb="FFFF0000"/>
        <rFont val="Times New Roman"/>
        <charset val="134"/>
      </rPr>
      <t>24</t>
    </r>
    <r>
      <rPr>
        <sz val="10"/>
        <color rgb="FFFF0000"/>
        <rFont val="宋体"/>
        <charset val="134"/>
      </rPr>
      <t>小时供应</t>
    </r>
  </si>
  <si>
    <t>热水箱容积</t>
  </si>
  <si>
    <r>
      <rPr>
        <sz val="10"/>
        <color rgb="FFFF0000"/>
        <rFont val="Times New Roman"/>
        <charset val="134"/>
      </rPr>
      <t>50</t>
    </r>
    <r>
      <rPr>
        <sz val="10"/>
        <color rgb="FFFF0000"/>
        <rFont val="宋体"/>
        <charset val="134"/>
      </rPr>
      <t>吨</t>
    </r>
  </si>
  <si>
    <t>热水供水温度</t>
  </si>
  <si>
    <r>
      <rPr>
        <sz val="10"/>
        <color rgb="FFFF0000"/>
        <rFont val="Times New Roman"/>
        <charset val="134"/>
      </rPr>
      <t>55</t>
    </r>
    <r>
      <rPr>
        <sz val="10"/>
        <color rgb="FFFF0000"/>
        <rFont val="宋体"/>
        <charset val="134"/>
      </rPr>
      <t>度</t>
    </r>
  </si>
  <si>
    <t>太阳能系统情况</t>
  </si>
  <si>
    <t>有太阳能集热板，面积2000平，但已损坏，目前未使用</t>
  </si>
  <si>
    <t>水耗计量情况</t>
  </si>
  <si>
    <t>□有智能冷热水远传总表
□有冷热水机械式总表
□无冷热水总表</t>
  </si>
  <si>
    <t>电耗计量情况</t>
  </si>
  <si>
    <t>电梯类型</t>
  </si>
  <si>
    <t>数量（部）</t>
  </si>
  <si>
    <t>有无变频</t>
  </si>
  <si>
    <t>有无能量回馈器</t>
  </si>
  <si>
    <t>服务层数</t>
  </si>
  <si>
    <t>有无其他节能方式</t>
  </si>
  <si>
    <t>表2-6 配电系统调研表</t>
  </si>
  <si>
    <r>
      <rPr>
        <sz val="10"/>
        <color rgb="FFFF0000"/>
        <rFont val="宋体"/>
        <charset val="134"/>
      </rPr>
      <t>1#</t>
    </r>
    <r>
      <rPr>
        <sz val="10"/>
        <color rgb="FFFF0000"/>
        <rFont val="宋体"/>
        <charset val="134"/>
      </rPr>
      <t>配电室（填写范例）</t>
    </r>
  </si>
  <si>
    <r>
      <rPr>
        <sz val="10"/>
        <color rgb="FFFF0000"/>
        <rFont val="宋体"/>
        <charset val="134"/>
      </rPr>
      <t>2021</t>
    </r>
    <r>
      <rPr>
        <sz val="10"/>
        <color rgb="FFFF0000"/>
        <rFont val="宋体"/>
        <charset val="134"/>
      </rPr>
      <t>年</t>
    </r>
  </si>
  <si>
    <t>负责区域</t>
  </si>
  <si>
    <t>XX楼</t>
  </si>
  <si>
    <t>变压器</t>
  </si>
  <si>
    <t>1600KVA*2+800KVA*2</t>
  </si>
  <si>
    <t>变压器负荷</t>
  </si>
  <si>
    <t>50~60%</t>
  </si>
  <si>
    <t>高压分项计量情况</t>
  </si>
  <si>
    <t>□无配电室高压电表，院区开关站缴费
□有配电室高压电表，可远传数据
□有配电室高压电表，不可远传数据
□无配电室高压电表</t>
  </si>
  <si>
    <t>低压出线柜分项计量情况</t>
  </si>
  <si>
    <t>□有远传抄表系统，可正常导出数据
□有远传抄表系统，不能使用及导出数据
□有485电表，无抄表系统
□有普通电表，无抄表系统
□无电表</t>
  </si>
  <si>
    <t>其他</t>
  </si>
  <si>
    <t>厨房用电、气是否单独计量</t>
  </si>
  <si>
    <r>
      <rPr>
        <sz val="10.5"/>
        <color theme="1"/>
        <rFont val="宋体"/>
        <charset val="134"/>
      </rPr>
      <t xml:space="preserve">□有 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□无；如有单独计量，2025年度耗电量为</t>
    </r>
    <r>
      <rPr>
        <sz val="10.5"/>
        <color theme="1"/>
        <rFont val="Times New Roman"/>
        <charset val="134"/>
      </rPr>
      <t>______</t>
    </r>
    <r>
      <rPr>
        <sz val="10.5"/>
        <color theme="1"/>
        <rFont val="宋体"/>
        <charset val="134"/>
      </rPr>
      <t>度，燃气用量为</t>
    </r>
    <r>
      <rPr>
        <sz val="10.5"/>
        <color theme="1"/>
        <rFont val="Times New Roman"/>
        <charset val="134"/>
      </rPr>
      <t>______</t>
    </r>
    <r>
      <rPr>
        <sz val="10.5"/>
        <color theme="1"/>
        <rFont val="宋体"/>
        <charset val="134"/>
      </rPr>
      <t>立方米，蒸汽量</t>
    </r>
    <r>
      <rPr>
        <sz val="10.5"/>
        <color theme="1"/>
        <rFont val="Times New Roman"/>
        <charset val="134"/>
      </rPr>
      <t>______</t>
    </r>
    <r>
      <rPr>
        <sz val="10.5"/>
        <color theme="1"/>
        <rFont val="宋体"/>
        <charset val="134"/>
      </rPr>
      <t>立方米</t>
    </r>
  </si>
  <si>
    <t>厨房设备</t>
  </si>
  <si>
    <t>炉灶数量_____台，单台功率（电炉灶）____kw，单台耗气量____立方米</t>
  </si>
  <si>
    <r>
      <rPr>
        <sz val="10.5"/>
        <color theme="1"/>
        <rFont val="宋体"/>
        <charset val="134"/>
      </rPr>
      <t xml:space="preserve">排油烟风机数量____台，单台功率____kw </t>
    </r>
    <r>
      <rPr>
        <sz val="10.5"/>
        <color theme="1"/>
        <rFont val="宋体"/>
        <charset val="134"/>
      </rPr>
      <t xml:space="preserve">        </t>
    </r>
    <r>
      <rPr>
        <sz val="10.5"/>
        <color theme="1"/>
        <rFont val="宋体"/>
        <charset val="134"/>
      </rPr>
      <t>洗消设备数量____台，单台平均功率____kw</t>
    </r>
  </si>
  <si>
    <r>
      <rPr>
        <sz val="10.5"/>
        <color theme="1"/>
        <rFont val="宋体"/>
        <charset val="134"/>
      </rPr>
      <t xml:space="preserve">冰柜数量____台，单台平均功率____kw </t>
    </r>
    <r>
      <rPr>
        <sz val="10.5"/>
        <color theme="1"/>
        <rFont val="宋体"/>
        <charset val="134"/>
      </rPr>
      <t xml:space="preserve">          </t>
    </r>
    <r>
      <rPr>
        <sz val="10.5"/>
        <color theme="1"/>
        <rFont val="宋体"/>
        <charset val="134"/>
      </rPr>
      <t>西餐设备____台，单台平均功率____kw</t>
    </r>
  </si>
  <si>
    <r>
      <rPr>
        <sz val="10.5"/>
        <color theme="1"/>
        <rFont val="宋体"/>
        <charset val="134"/>
      </rPr>
      <t xml:space="preserve">吧台设备____台，单台平均功率____kw </t>
    </r>
    <r>
      <rPr>
        <sz val="10.5"/>
        <color theme="1"/>
        <rFont val="宋体"/>
        <charset val="134"/>
      </rPr>
      <t xml:space="preserve">          </t>
    </r>
    <r>
      <rPr>
        <sz val="10.5"/>
        <color theme="1"/>
        <rFont val="宋体"/>
        <charset val="134"/>
      </rPr>
      <t>其他设备____台，单台平均功率____kw</t>
    </r>
  </si>
  <si>
    <t>有无节能措施</t>
  </si>
  <si>
    <r>
      <rPr>
        <sz val="10.5"/>
        <color theme="1"/>
        <rFont val="宋体"/>
        <charset val="134"/>
      </rPr>
      <t xml:space="preserve">□有 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□无；如有，请填写</t>
    </r>
  </si>
  <si>
    <t>已采用的节能技术</t>
  </si>
  <si>
    <t xml:space="preserve">1. □中央空调自带控制  □中央空调根据负荷由楼宇控制系统控制    8. □电梯集群控制
2. □热源自带控制  □热源根据负荷由楼宇控制系统控制            9. □开水器时钟控制
3. □风机盘管三速开关控制  □三速及温度控制                    10.□机房设计改造
4. □变冷媒流量多联机的控制                                    11.□可再生能源利用
5. □空调箱DDC控制                                           12. □在线监测系统和节能检测
6. □照明分区控制  □照明日光控制                             
7. □水泵变频控制                                             
其他 1       无                                                                     
     2                                                                            
     3                                                                            </t>
  </si>
  <si>
    <t>已采用的节能管理措施</t>
  </si>
  <si>
    <t xml:space="preserve">1.是否有节能管理专门机构  □是  □否                4.是否建立节能管理规章制度  □是  □否
2.是否配备节能专职管理人员  □是  □否              5.是否引入合同能源管理模式  □是  □否
3.是否分解能耗指标到各部门  □是  □否              6.是否建立能源监管平台  □是  □否
7.是否安装分级计量装置  □是  □否  如是，I级表____个，II级表____个， III级表____个
其他 1                                                                            
     2                                                                            
     3                                                                            </t>
  </si>
  <si>
    <t>其他特殊情况说明</t>
  </si>
  <si>
    <t>水表设置情况</t>
  </si>
  <si>
    <r>
      <rPr>
        <sz val="10.5"/>
        <color theme="1"/>
        <rFont val="宋体"/>
        <charset val="134"/>
      </rPr>
      <t xml:space="preserve">有无远传 □有 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□无；分级计量情况，</t>
    </r>
    <r>
      <rPr>
        <sz val="10.5"/>
        <color theme="1"/>
        <rFont val="宋体"/>
        <charset val="134"/>
      </rPr>
      <t>_____级，表数_____。</t>
    </r>
  </si>
  <si>
    <t>给水设备</t>
  </si>
  <si>
    <t>洗手盆类型__________，数量_____台，类型；大便器类型__________，数量_____台；大小便器类型__________，数量_____台；拖布池数量_____台</t>
  </si>
  <si>
    <t>水泵房设备： 水泵功率__________，水泵台数__________，使用情况__________</t>
  </si>
  <si>
    <t>管道材质：</t>
  </si>
  <si>
    <t>绿化用水情况：</t>
  </si>
  <si>
    <r>
      <rPr>
        <sz val="10.5"/>
        <color theme="1"/>
        <rFont val="宋体"/>
        <charset val="134"/>
      </rPr>
      <t xml:space="preserve">□有 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宋体"/>
        <charset val="134"/>
      </rPr>
      <t>□无；如有，请填写</t>
    </r>
  </si>
  <si>
    <t>维修情况</t>
  </si>
  <si>
    <t>有无泄漏 □有  □无，年维护费__________元。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</si>
</sst>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_);[Red]\(0.00\)"/>
  </numFmts>
  <fonts count="5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0.5"/>
      <color rgb="FFFF0000"/>
      <name val="宋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Times New Roman"/>
      <charset val="134"/>
    </font>
    <font>
      <b/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5"/>
      <color indexed="8"/>
      <name val="宋体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b/>
      <sz val="10"/>
      <color indexed="8"/>
      <name val="宋体"/>
      <charset val="134"/>
    </font>
    <font>
      <b/>
      <u/>
      <sz val="15"/>
      <color rgb="FF000000"/>
      <name val="宋体"/>
      <charset val="134"/>
    </font>
    <font>
      <b/>
      <sz val="15"/>
      <color rgb="FF000000"/>
      <name val="宋体"/>
      <charset val="134"/>
    </font>
    <font>
      <b/>
      <sz val="10"/>
      <name val="宋体"/>
      <charset val="134"/>
    </font>
    <font>
      <sz val="12"/>
      <color indexed="8"/>
      <name val="宋体"/>
      <charset val="134"/>
    </font>
    <font>
      <b/>
      <sz val="24"/>
      <color theme="1"/>
      <name val="微软雅黑"/>
      <charset val="134"/>
    </font>
    <font>
      <u/>
      <sz val="10"/>
      <color rgb="FF000000"/>
      <name val="宋体"/>
      <charset val="134"/>
    </font>
    <font>
      <b/>
      <sz val="16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  <font>
      <vertAlign val="superscript"/>
      <sz val="10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5" borderId="2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9" fillId="0" borderId="30" applyNumberFormat="0" applyFill="0" applyAlignment="0" applyProtection="0">
      <alignment vertical="center"/>
    </xf>
    <xf numFmtId="0" fontId="40" fillId="0" borderId="3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6" borderId="32" applyNumberFormat="0" applyAlignment="0" applyProtection="0">
      <alignment vertical="center"/>
    </xf>
    <xf numFmtId="0" fontId="42" fillId="7" borderId="33" applyNumberFormat="0" applyAlignment="0" applyProtection="0">
      <alignment vertical="center"/>
    </xf>
    <xf numFmtId="0" fontId="43" fillId="7" borderId="32" applyNumberFormat="0" applyAlignment="0" applyProtection="0">
      <alignment vertical="center"/>
    </xf>
    <xf numFmtId="0" fontId="44" fillId="8" borderId="34" applyNumberFormat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6" fillId="0" borderId="36" applyNumberFormat="0" applyFill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1" fillId="0" borderId="1" xfId="0" applyFont="1" applyFill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2" borderId="12" xfId="0" applyFont="1" applyFill="1" applyBorder="1" applyAlignment="1">
      <alignment horizontal="right"/>
    </xf>
    <xf numFmtId="0" fontId="20" fillId="2" borderId="13" xfId="0" applyFont="1" applyFill="1" applyBorder="1" applyAlignment="1">
      <alignment horizontal="right"/>
    </xf>
    <xf numFmtId="0" fontId="21" fillId="2" borderId="13" xfId="0" applyFont="1" applyFill="1" applyBorder="1" applyAlignment="1">
      <alignment horizontal="center"/>
    </xf>
    <xf numFmtId="0" fontId="21" fillId="2" borderId="13" xfId="0" applyFont="1" applyFill="1" applyBorder="1" applyAlignment="1"/>
    <xf numFmtId="0" fontId="21" fillId="2" borderId="14" xfId="0" applyFont="1" applyFill="1" applyBorder="1" applyAlignment="1"/>
    <xf numFmtId="0" fontId="17" fillId="2" borderId="15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wrapText="1"/>
    </xf>
    <xf numFmtId="0" fontId="17" fillId="3" borderId="18" xfId="0" applyFont="1" applyFill="1" applyBorder="1" applyAlignment="1">
      <alignment horizontal="center" wrapText="1"/>
    </xf>
    <xf numFmtId="0" fontId="17" fillId="2" borderId="17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7" fontId="17" fillId="0" borderId="18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177" fontId="17" fillId="2" borderId="17" xfId="0" applyNumberFormat="1" applyFont="1" applyFill="1" applyBorder="1" applyAlignment="1">
      <alignment horizontal="center"/>
    </xf>
    <xf numFmtId="2" fontId="15" fillId="0" borderId="1" xfId="0" applyNumberFormat="1" applyFont="1" applyBorder="1" applyAlignment="1">
      <alignment horizontal="center" vertical="center"/>
    </xf>
    <xf numFmtId="177" fontId="19" fillId="2" borderId="19" xfId="0" applyNumberFormat="1" applyFont="1" applyFill="1" applyBorder="1" applyAlignment="1">
      <alignment horizontal="center"/>
    </xf>
    <xf numFmtId="178" fontId="22" fillId="0" borderId="20" xfId="0" applyNumberFormat="1" applyFont="1" applyBorder="1" applyAlignment="1">
      <alignment horizontal="center"/>
    </xf>
    <xf numFmtId="178" fontId="22" fillId="0" borderId="21" xfId="0" applyNumberFormat="1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176" fontId="17" fillId="0" borderId="1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/>
    </xf>
    <xf numFmtId="0" fontId="2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2" borderId="22" xfId="0" applyFont="1" applyFill="1" applyBorder="1">
      <alignment vertical="center"/>
    </xf>
    <xf numFmtId="0" fontId="7" fillId="0" borderId="23" xfId="0" applyFont="1" applyBorder="1" applyAlignment="1">
      <alignment vertical="center" wrapText="1"/>
    </xf>
    <xf numFmtId="0" fontId="5" fillId="2" borderId="23" xfId="0" applyFont="1" applyFill="1" applyBorder="1">
      <alignment vertical="center"/>
    </xf>
    <xf numFmtId="0" fontId="5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 wrapText="1"/>
    </xf>
    <xf numFmtId="0" fontId="5" fillId="2" borderId="25" xfId="0" applyFont="1" applyFill="1" applyBorder="1" applyAlignment="1">
      <alignment horizontal="justify" vertical="center"/>
    </xf>
    <xf numFmtId="0" fontId="25" fillId="0" borderId="25" xfId="0" applyFont="1" applyBorder="1">
      <alignment vertical="center"/>
    </xf>
    <xf numFmtId="0" fontId="7" fillId="0" borderId="0" xfId="0" applyFont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2" borderId="28" xfId="0" applyFont="1" applyFill="1" applyBorder="1" applyAlignment="1">
      <alignment vertical="center" wrapText="1"/>
    </xf>
    <xf numFmtId="0" fontId="7" fillId="2" borderId="24" xfId="0" applyFont="1" applyFill="1" applyBorder="1" applyAlignment="1">
      <alignment vertical="center" wrapText="1"/>
    </xf>
    <xf numFmtId="0" fontId="26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8"/>
  <sheetViews>
    <sheetView zoomScale="115" zoomScaleNormal="115" topLeftCell="A24" workbookViewId="0">
      <selection activeCell="C10" sqref="C10:G10"/>
    </sheetView>
  </sheetViews>
  <sheetFormatPr defaultColWidth="9" defaultRowHeight="13.5"/>
  <cols>
    <col min="1" max="1" width="4.73333333333333" customWidth="1"/>
    <col min="2" max="2" width="9.86666666666667" customWidth="1"/>
    <col min="3" max="3" width="15.4666666666667" customWidth="1"/>
    <col min="4" max="7" width="20.5333333333333" customWidth="1"/>
    <col min="8" max="8" width="3.6" customWidth="1"/>
    <col min="9" max="10" width="20.5333333333333" customWidth="1"/>
    <col min="11" max="17" width="9" customWidth="1"/>
  </cols>
  <sheetData>
    <row r="1" ht="33.75" spans="2:7">
      <c r="B1" s="111" t="s">
        <v>0</v>
      </c>
      <c r="C1" s="111"/>
      <c r="D1" s="111"/>
      <c r="E1" s="111"/>
      <c r="F1" s="111"/>
      <c r="G1" s="111"/>
    </row>
    <row r="2" ht="21" customHeight="1" spans="2:7">
      <c r="B2" s="112"/>
      <c r="C2" s="112"/>
      <c r="D2" s="112"/>
      <c r="E2" s="112"/>
      <c r="F2" s="112"/>
      <c r="G2" s="112"/>
    </row>
    <row r="3" ht="32" customHeight="1" spans="2:7">
      <c r="B3" s="113" t="s">
        <v>1</v>
      </c>
      <c r="C3" s="114"/>
      <c r="D3" s="114"/>
      <c r="E3" s="115" t="s">
        <v>2</v>
      </c>
      <c r="F3" s="114"/>
      <c r="G3" s="114"/>
    </row>
    <row r="4" ht="26" customHeight="1" spans="2:7">
      <c r="B4" s="116" t="s">
        <v>3</v>
      </c>
      <c r="C4" s="117" t="s">
        <v>4</v>
      </c>
      <c r="D4" s="117"/>
      <c r="E4" s="117"/>
      <c r="F4" s="118" t="s">
        <v>5</v>
      </c>
      <c r="G4" s="119" t="s">
        <v>6</v>
      </c>
    </row>
    <row r="5" ht="45" customHeight="1" spans="2:7">
      <c r="B5" s="116"/>
      <c r="C5" s="120" t="s">
        <v>7</v>
      </c>
      <c r="D5" s="120"/>
      <c r="E5" s="120"/>
      <c r="F5" s="120"/>
      <c r="G5" s="121"/>
    </row>
    <row r="6" spans="2:7">
      <c r="B6" s="122" t="s">
        <v>8</v>
      </c>
      <c r="C6" s="120" t="s">
        <v>9</v>
      </c>
      <c r="D6" s="120"/>
      <c r="E6" s="120"/>
      <c r="F6" s="120"/>
      <c r="G6" s="121"/>
    </row>
    <row r="7" spans="2:7">
      <c r="B7" s="122"/>
      <c r="C7" s="120" t="s">
        <v>10</v>
      </c>
      <c r="D7" s="120"/>
      <c r="E7" s="120"/>
      <c r="F7" s="120"/>
      <c r="G7" s="121"/>
    </row>
    <row r="8" spans="2:7">
      <c r="B8" s="122"/>
      <c r="C8" s="123" t="s">
        <v>11</v>
      </c>
      <c r="D8" s="123"/>
      <c r="E8" s="123"/>
      <c r="F8" s="123"/>
      <c r="G8" s="117"/>
    </row>
    <row r="9" ht="19.05" customHeight="1" spans="2:7">
      <c r="B9" s="122"/>
      <c r="C9" s="124" t="s">
        <v>12</v>
      </c>
      <c r="D9" s="124"/>
      <c r="E9" s="124"/>
      <c r="F9" s="124"/>
      <c r="G9" s="125"/>
    </row>
    <row r="10" ht="19.05" customHeight="1" spans="2:7">
      <c r="B10" s="122"/>
      <c r="C10" s="120" t="s">
        <v>13</v>
      </c>
      <c r="D10" s="120"/>
      <c r="E10" s="120"/>
      <c r="F10" s="120"/>
      <c r="G10" s="121"/>
    </row>
    <row r="11" ht="16.05" customHeight="1" spans="2:7">
      <c r="B11" s="122"/>
      <c r="C11" s="124" t="s">
        <v>14</v>
      </c>
      <c r="D11" s="124"/>
      <c r="E11" s="124"/>
      <c r="F11" s="124"/>
      <c r="G11" s="125"/>
    </row>
    <row r="12" ht="20" customHeight="1" spans="2:7">
      <c r="B12" s="122"/>
      <c r="C12" s="124" t="s">
        <v>15</v>
      </c>
      <c r="D12" s="124"/>
      <c r="E12" s="124"/>
      <c r="F12" s="124"/>
      <c r="G12" s="125"/>
    </row>
    <row r="13" ht="25.05" customHeight="1" spans="2:7">
      <c r="B13" s="122"/>
      <c r="C13" s="126" t="s">
        <v>16</v>
      </c>
      <c r="D13" s="126"/>
      <c r="E13" s="126"/>
      <c r="F13" s="126"/>
      <c r="G13" s="127"/>
    </row>
    <row r="14" ht="14.25" spans="2:7">
      <c r="B14" s="128" t="s">
        <v>17</v>
      </c>
      <c r="C14" s="120" t="s">
        <v>18</v>
      </c>
      <c r="D14" s="120"/>
      <c r="E14" s="120"/>
      <c r="F14" s="120"/>
      <c r="G14" s="121"/>
    </row>
    <row r="15" ht="14.25" spans="2:7">
      <c r="B15" s="128"/>
      <c r="C15" s="120" t="s">
        <v>19</v>
      </c>
      <c r="D15" s="120"/>
      <c r="E15" s="120"/>
      <c r="F15" s="120"/>
      <c r="G15" s="121"/>
    </row>
    <row r="16" ht="14.25" spans="2:7">
      <c r="B16" s="128"/>
      <c r="C16" s="120" t="s">
        <v>20</v>
      </c>
      <c r="D16" s="120"/>
      <c r="E16" s="120"/>
      <c r="F16" s="120"/>
      <c r="G16" s="121"/>
    </row>
    <row r="17" ht="14.25" spans="2:10">
      <c r="B17" s="128"/>
      <c r="C17" s="123" t="s">
        <v>21</v>
      </c>
      <c r="D17" s="123"/>
      <c r="E17" s="123"/>
      <c r="F17" s="123"/>
      <c r="G17" s="117"/>
    </row>
    <row r="18" ht="14.25" spans="2:10">
      <c r="B18" s="128"/>
      <c r="C18" s="120" t="s">
        <v>22</v>
      </c>
      <c r="D18" s="120"/>
      <c r="E18" s="120"/>
      <c r="F18" s="120"/>
      <c r="G18" s="121"/>
    </row>
    <row r="19" ht="14.25" spans="2:10">
      <c r="B19" s="128"/>
      <c r="C19" s="120" t="s">
        <v>23</v>
      </c>
      <c r="D19" s="120"/>
      <c r="E19" s="120"/>
      <c r="F19" s="120"/>
      <c r="G19" s="121"/>
    </row>
    <row r="20" ht="14.25" spans="2:10">
      <c r="B20" s="128"/>
      <c r="C20" s="123" t="s">
        <v>24</v>
      </c>
      <c r="D20" s="123"/>
      <c r="E20" s="123"/>
      <c r="F20" s="123"/>
      <c r="G20" s="117"/>
    </row>
    <row r="21" ht="70.05" customHeight="1" spans="2:10">
      <c r="B21" s="129" t="s">
        <v>25</v>
      </c>
      <c r="C21" s="121" t="s">
        <v>26</v>
      </c>
      <c r="D21" s="121"/>
      <c r="E21" s="121"/>
      <c r="F21" s="121"/>
      <c r="G21" s="121"/>
      <c r="I21" s="130" t="s">
        <v>27</v>
      </c>
      <c r="J21" s="130"/>
    </row>
    <row r="22" ht="5" customHeight="1" spans="2:10">
      <c r="B22" s="131"/>
      <c r="C22" s="131"/>
      <c r="D22" s="131"/>
      <c r="E22" s="131"/>
      <c r="F22" s="131"/>
      <c r="G22" s="131"/>
    </row>
    <row r="23" spans="2:10">
      <c r="B23" s="132" t="s">
        <v>28</v>
      </c>
      <c r="C23" s="133" t="s">
        <v>29</v>
      </c>
      <c r="D23" s="134"/>
      <c r="E23" s="134"/>
      <c r="F23" s="134"/>
      <c r="G23" s="135"/>
      <c r="I23" s="136" t="s">
        <v>30</v>
      </c>
      <c r="J23" s="136" t="s">
        <v>31</v>
      </c>
    </row>
    <row r="24" spans="2:10">
      <c r="B24" s="132"/>
      <c r="C24" s="133" t="s">
        <v>32</v>
      </c>
      <c r="D24" s="137"/>
      <c r="E24" s="137"/>
      <c r="F24" s="137"/>
      <c r="G24" s="137"/>
      <c r="I24" s="138" t="s">
        <v>33</v>
      </c>
      <c r="J24" s="138" t="s">
        <v>34</v>
      </c>
    </row>
    <row r="25" ht="24" spans="2:10">
      <c r="B25" s="132"/>
      <c r="C25" s="133" t="s">
        <v>35</v>
      </c>
      <c r="D25" s="137"/>
      <c r="E25" s="137"/>
      <c r="F25" s="137"/>
      <c r="G25" s="137"/>
      <c r="I25" s="138" t="s">
        <v>36</v>
      </c>
      <c r="J25" s="138" t="s">
        <v>37</v>
      </c>
    </row>
    <row r="26" spans="2:10">
      <c r="B26" s="132"/>
      <c r="C26" s="133" t="s">
        <v>38</v>
      </c>
      <c r="D26" s="137"/>
      <c r="E26" s="137"/>
      <c r="F26" s="137"/>
      <c r="G26" s="137"/>
      <c r="I26" s="138" t="s">
        <v>39</v>
      </c>
      <c r="J26" s="138" t="s">
        <v>40</v>
      </c>
    </row>
    <row r="27" spans="2:10">
      <c r="B27" s="132"/>
      <c r="C27" s="133" t="s">
        <v>41</v>
      </c>
      <c r="D27" s="137"/>
      <c r="E27" s="137"/>
      <c r="F27" s="137"/>
      <c r="G27" s="139"/>
      <c r="I27" s="138" t="s">
        <v>42</v>
      </c>
      <c r="J27" s="138" t="s">
        <v>43</v>
      </c>
    </row>
    <row r="28" spans="2:10">
      <c r="B28" s="132"/>
      <c r="C28" s="133" t="s">
        <v>44</v>
      </c>
      <c r="D28" s="137"/>
      <c r="E28" s="137"/>
      <c r="F28" s="137"/>
      <c r="G28" s="137"/>
      <c r="I28" s="138" t="s">
        <v>45</v>
      </c>
      <c r="J28" s="138" t="s">
        <v>46</v>
      </c>
    </row>
    <row r="29" spans="2:10">
      <c r="B29" s="132"/>
      <c r="C29" s="133" t="s">
        <v>47</v>
      </c>
      <c r="D29" s="137"/>
      <c r="E29" s="137"/>
      <c r="F29" s="137"/>
      <c r="G29" s="137"/>
      <c r="I29" s="138" t="s">
        <v>48</v>
      </c>
      <c r="J29" s="138" t="s">
        <v>49</v>
      </c>
    </row>
    <row r="30" spans="2:10">
      <c r="B30" s="132"/>
      <c r="C30" s="133" t="s">
        <v>50</v>
      </c>
      <c r="D30" s="137"/>
      <c r="E30" s="137"/>
      <c r="F30" s="137"/>
      <c r="G30" s="137"/>
      <c r="I30" s="138" t="s">
        <v>51</v>
      </c>
      <c r="J30" s="138" t="s">
        <v>52</v>
      </c>
    </row>
    <row r="31" ht="48" spans="2:10">
      <c r="B31" s="140" t="s">
        <v>53</v>
      </c>
      <c r="C31" s="10" t="s">
        <v>54</v>
      </c>
      <c r="D31" s="141" t="s">
        <v>55</v>
      </c>
      <c r="E31" s="141" t="s">
        <v>56</v>
      </c>
      <c r="F31" s="141" t="s">
        <v>57</v>
      </c>
      <c r="G31" s="142" t="s">
        <v>58</v>
      </c>
      <c r="I31" s="143" t="s">
        <v>59</v>
      </c>
      <c r="J31" s="143" t="s">
        <v>59</v>
      </c>
    </row>
    <row r="32" ht="48" spans="2:10">
      <c r="B32" s="140"/>
      <c r="C32" s="133" t="s">
        <v>60</v>
      </c>
      <c r="D32" s="144" t="s">
        <v>61</v>
      </c>
      <c r="E32" s="144"/>
      <c r="F32" s="144"/>
      <c r="G32" s="145"/>
      <c r="I32" s="143" t="s">
        <v>62</v>
      </c>
      <c r="J32" s="143" t="s">
        <v>62</v>
      </c>
    </row>
    <row r="33" ht="60" spans="2:10">
      <c r="B33" s="140"/>
      <c r="C33" s="133" t="s">
        <v>63</v>
      </c>
      <c r="D33" s="144" t="s">
        <v>64</v>
      </c>
      <c r="E33" s="144"/>
      <c r="F33" s="144"/>
      <c r="G33" s="145"/>
      <c r="I33" s="143" t="s">
        <v>65</v>
      </c>
      <c r="J33" s="143" t="s">
        <v>65</v>
      </c>
    </row>
    <row r="34" ht="68" customHeight="1" spans="2:10">
      <c r="B34" s="140" t="s">
        <v>66</v>
      </c>
      <c r="C34" s="133" t="s">
        <v>67</v>
      </c>
      <c r="D34" s="144" t="s">
        <v>68</v>
      </c>
      <c r="E34" s="144"/>
      <c r="F34" s="144"/>
      <c r="G34" s="145"/>
      <c r="I34" s="143" t="s">
        <v>69</v>
      </c>
      <c r="J34" s="143" t="s">
        <v>70</v>
      </c>
    </row>
    <row r="35" spans="2:10">
      <c r="B35" s="140"/>
      <c r="C35" s="133" t="s">
        <v>71</v>
      </c>
      <c r="D35" s="137"/>
      <c r="E35" s="137"/>
      <c r="F35" s="137"/>
      <c r="G35" s="146"/>
      <c r="I35" s="138" t="s">
        <v>51</v>
      </c>
      <c r="J35" s="138" t="s">
        <v>72</v>
      </c>
    </row>
    <row r="36" ht="24" spans="2:10">
      <c r="B36" s="140" t="s">
        <v>73</v>
      </c>
      <c r="C36" s="133" t="s">
        <v>74</v>
      </c>
      <c r="D36" s="144" t="s">
        <v>75</v>
      </c>
      <c r="E36" s="144"/>
      <c r="F36" s="144"/>
      <c r="G36" s="145"/>
      <c r="I36" s="143" t="s">
        <v>76</v>
      </c>
      <c r="J36" s="143" t="s">
        <v>76</v>
      </c>
    </row>
    <row r="37" spans="2:10">
      <c r="B37" s="140"/>
      <c r="C37" s="133" t="s">
        <v>71</v>
      </c>
      <c r="D37" s="137"/>
      <c r="E37" s="137"/>
      <c r="F37" s="137"/>
      <c r="G37" s="146"/>
      <c r="I37" s="138" t="s">
        <v>51</v>
      </c>
      <c r="J37" s="138" t="s">
        <v>52</v>
      </c>
    </row>
    <row r="38" ht="36" spans="2:10">
      <c r="B38" s="133" t="s">
        <v>77</v>
      </c>
      <c r="C38" s="133"/>
      <c r="D38" s="144" t="s">
        <v>78</v>
      </c>
      <c r="E38" s="141" t="s">
        <v>79</v>
      </c>
      <c r="F38" s="141" t="s">
        <v>80</v>
      </c>
      <c r="G38" s="147" t="s">
        <v>81</v>
      </c>
      <c r="I38" s="143" t="s">
        <v>82</v>
      </c>
      <c r="J38" s="143" t="s">
        <v>82</v>
      </c>
    </row>
  </sheetData>
  <mergeCells count="32">
    <mergeCell ref="B1:G1"/>
    <mergeCell ref="B2:G2"/>
    <mergeCell ref="C3:D3"/>
    <mergeCell ref="F3:G3"/>
    <mergeCell ref="C4:E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I21:J21"/>
    <mergeCell ref="B22:G22"/>
    <mergeCell ref="B38:C38"/>
    <mergeCell ref="B4:B5"/>
    <mergeCell ref="B6:B13"/>
    <mergeCell ref="B14:B20"/>
    <mergeCell ref="B23:B30"/>
    <mergeCell ref="B31:B33"/>
    <mergeCell ref="B34:B35"/>
    <mergeCell ref="B36:B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74"/>
  <sheetViews>
    <sheetView topLeftCell="A41" workbookViewId="0">
      <selection activeCell="I49" sqref="I49"/>
    </sheetView>
  </sheetViews>
  <sheetFormatPr defaultColWidth="11.0666666666667" defaultRowHeight="20.1" customHeight="1"/>
  <cols>
    <col min="1" max="1" width="4.73333333333333" style="74" customWidth="1"/>
    <col min="2" max="2" width="5.66666666666667" style="74" customWidth="1"/>
    <col min="3" max="6" width="13.5333333333333" style="74" customWidth="1"/>
    <col min="7" max="7" width="15.8666666666667" style="74" customWidth="1"/>
    <col min="8" max="12" width="13.5333333333333" style="74" customWidth="1"/>
    <col min="13" max="16384" width="11.0666666666667" style="74"/>
  </cols>
  <sheetData>
    <row r="2" s="70" customFormat="1" ht="19.5" spans="2:12">
      <c r="B2" s="75" t="s">
        <v>83</v>
      </c>
      <c r="C2" s="76"/>
      <c r="D2" s="76"/>
      <c r="E2" s="76"/>
      <c r="F2" s="77">
        <v>2025</v>
      </c>
      <c r="G2" s="77" t="s">
        <v>84</v>
      </c>
      <c r="H2" s="78" t="s">
        <v>85</v>
      </c>
      <c r="I2" s="78"/>
      <c r="J2" s="78"/>
      <c r="K2" s="78"/>
      <c r="L2" s="79"/>
    </row>
    <row r="3" ht="13.5" spans="2:12">
      <c r="B3" s="80" t="s">
        <v>86</v>
      </c>
      <c r="C3" s="81" t="s">
        <v>87</v>
      </c>
      <c r="D3" s="81"/>
      <c r="E3" s="81" t="s">
        <v>88</v>
      </c>
      <c r="F3" s="81"/>
      <c r="G3" s="81" t="s">
        <v>89</v>
      </c>
      <c r="H3" s="81"/>
      <c r="I3" s="81" t="s">
        <v>90</v>
      </c>
      <c r="J3" s="81"/>
      <c r="K3" s="81" t="s">
        <v>91</v>
      </c>
      <c r="L3" s="82"/>
    </row>
    <row r="4" s="71" customFormat="1" ht="12" spans="2:12">
      <c r="B4" s="83"/>
      <c r="C4" s="84" t="s">
        <v>92</v>
      </c>
      <c r="D4" s="84" t="s">
        <v>93</v>
      </c>
      <c r="E4" s="84" t="s">
        <v>94</v>
      </c>
      <c r="F4" s="84" t="s">
        <v>93</v>
      </c>
      <c r="G4" s="84" t="s">
        <v>95</v>
      </c>
      <c r="H4" s="84" t="s">
        <v>96</v>
      </c>
      <c r="I4" s="84" t="s">
        <v>97</v>
      </c>
      <c r="J4" s="84" t="s">
        <v>98</v>
      </c>
      <c r="K4" s="84" t="s">
        <v>99</v>
      </c>
      <c r="L4" s="85" t="s">
        <v>100</v>
      </c>
    </row>
    <row r="5" spans="2:12">
      <c r="B5" s="86" t="s">
        <v>101</v>
      </c>
      <c r="C5" s="87">
        <v>114520</v>
      </c>
      <c r="D5" s="88">
        <v>80150.15</v>
      </c>
      <c r="E5" s="87">
        <v>1560</v>
      </c>
      <c r="F5" s="89">
        <v>4368.4</v>
      </c>
      <c r="G5" s="90">
        <v>799</v>
      </c>
      <c r="H5" s="91">
        <v>2121.16</v>
      </c>
      <c r="I5" s="90"/>
      <c r="J5" s="92"/>
      <c r="K5" s="90"/>
      <c r="L5" s="93"/>
    </row>
    <row r="6" spans="2:12">
      <c r="B6" s="86" t="s">
        <v>102</v>
      </c>
      <c r="C6" s="94">
        <v>115480</v>
      </c>
      <c r="D6" s="95">
        <v>81146.49</v>
      </c>
      <c r="E6" s="94">
        <v>4840</v>
      </c>
      <c r="F6" s="89">
        <v>13552</v>
      </c>
      <c r="G6" s="96">
        <v>1002</v>
      </c>
      <c r="H6" s="91">
        <v>3026.04</v>
      </c>
      <c r="I6" s="90"/>
      <c r="J6" s="92"/>
      <c r="K6" s="90"/>
      <c r="L6" s="93"/>
    </row>
    <row r="7" spans="2:12">
      <c r="B7" s="86" t="s">
        <v>103</v>
      </c>
      <c r="C7" s="87">
        <v>121180</v>
      </c>
      <c r="D7" s="97">
        <v>88556.55</v>
      </c>
      <c r="E7" s="94">
        <v>2268</v>
      </c>
      <c r="F7" s="89">
        <v>6350.4</v>
      </c>
      <c r="G7" s="96">
        <v>956</v>
      </c>
      <c r="H7" s="91">
        <v>2648.73</v>
      </c>
      <c r="I7" s="90"/>
      <c r="J7" s="92"/>
      <c r="K7" s="90"/>
      <c r="L7" s="93"/>
    </row>
    <row r="8" spans="2:12">
      <c r="B8" s="86" t="s">
        <v>104</v>
      </c>
      <c r="C8" s="87">
        <v>41820</v>
      </c>
      <c r="D8" s="97">
        <v>28325.28</v>
      </c>
      <c r="E8" s="94">
        <v>2619</v>
      </c>
      <c r="F8" s="89">
        <v>7333.2</v>
      </c>
      <c r="G8" s="90">
        <v>1682</v>
      </c>
      <c r="H8" s="91">
        <v>5079.64</v>
      </c>
      <c r="I8" s="90"/>
      <c r="J8" s="92"/>
      <c r="K8" s="90"/>
      <c r="L8" s="93"/>
    </row>
    <row r="9" spans="2:12">
      <c r="B9" s="86" t="s">
        <v>105</v>
      </c>
      <c r="C9" s="87">
        <v>83660</v>
      </c>
      <c r="D9" s="97">
        <v>56377.52</v>
      </c>
      <c r="E9" s="94">
        <v>1037</v>
      </c>
      <c r="F9" s="89">
        <v>2903.6</v>
      </c>
      <c r="G9" s="90">
        <v>1998</v>
      </c>
      <c r="H9" s="91">
        <v>6033.96</v>
      </c>
      <c r="I9" s="90"/>
      <c r="J9" s="92"/>
      <c r="K9" s="90"/>
      <c r="L9" s="93"/>
    </row>
    <row r="10" spans="2:12">
      <c r="B10" s="86" t="s">
        <v>106</v>
      </c>
      <c r="C10" s="87">
        <v>192500</v>
      </c>
      <c r="D10" s="97">
        <v>138448.87</v>
      </c>
      <c r="E10" s="94">
        <v>1576</v>
      </c>
      <c r="F10" s="87">
        <v>4346.24</v>
      </c>
      <c r="G10" s="90">
        <v>1600</v>
      </c>
      <c r="H10" s="91">
        <v>4832</v>
      </c>
      <c r="I10" s="90"/>
      <c r="J10" s="92"/>
      <c r="K10" s="90"/>
      <c r="L10" s="93"/>
    </row>
    <row r="11" spans="2:12">
      <c r="B11" s="86" t="s">
        <v>107</v>
      </c>
      <c r="C11" s="87">
        <v>214900</v>
      </c>
      <c r="D11" s="98">
        <v>153133.64</v>
      </c>
      <c r="E11" s="94">
        <v>2420</v>
      </c>
      <c r="F11" s="89">
        <v>6776</v>
      </c>
      <c r="G11" s="96">
        <v>1332</v>
      </c>
      <c r="H11" s="91">
        <v>3690.5</v>
      </c>
      <c r="I11" s="90"/>
      <c r="J11" s="92"/>
      <c r="K11" s="90"/>
      <c r="L11" s="93"/>
    </row>
    <row r="12" spans="2:12">
      <c r="B12" s="86" t="s">
        <v>108</v>
      </c>
      <c r="C12" s="87">
        <v>206080</v>
      </c>
      <c r="D12" s="98">
        <v>146241.01</v>
      </c>
      <c r="E12" s="94">
        <v>1800</v>
      </c>
      <c r="F12" s="89">
        <v>5040</v>
      </c>
      <c r="G12" s="87">
        <v>977</v>
      </c>
      <c r="H12" s="91">
        <v>2950.54</v>
      </c>
      <c r="I12" s="90"/>
      <c r="J12" s="92"/>
      <c r="K12" s="90"/>
      <c r="L12" s="93"/>
    </row>
    <row r="13" s="72" customFormat="1" ht="12" spans="2:12">
      <c r="B13" s="86" t="s">
        <v>109</v>
      </c>
      <c r="C13" s="87">
        <v>120280</v>
      </c>
      <c r="D13" s="99">
        <v>78002.28</v>
      </c>
      <c r="E13" s="100">
        <v>2000</v>
      </c>
      <c r="F13" s="89">
        <v>5600</v>
      </c>
      <c r="G13" s="101">
        <v>1593</v>
      </c>
      <c r="H13" s="91">
        <v>4810.86</v>
      </c>
      <c r="I13" s="90"/>
      <c r="J13" s="92"/>
      <c r="K13" s="90"/>
      <c r="L13" s="93"/>
    </row>
    <row r="14" spans="2:12">
      <c r="B14" s="86" t="s">
        <v>110</v>
      </c>
      <c r="C14" s="87">
        <v>50720</v>
      </c>
      <c r="D14" s="99">
        <v>37419.82</v>
      </c>
      <c r="E14" s="100">
        <v>13456</v>
      </c>
      <c r="F14" s="89">
        <v>37676.8</v>
      </c>
      <c r="G14" s="100"/>
      <c r="H14" s="91">
        <v>5460.16</v>
      </c>
      <c r="I14" s="90"/>
      <c r="J14" s="92"/>
      <c r="K14" s="90"/>
      <c r="L14" s="93"/>
    </row>
    <row r="15" spans="2:12">
      <c r="B15" s="102" t="s">
        <v>111</v>
      </c>
      <c r="C15" s="87">
        <v>123320</v>
      </c>
      <c r="D15" s="99">
        <v>96136.7</v>
      </c>
      <c r="E15" s="100">
        <v>4241</v>
      </c>
      <c r="F15" s="89">
        <v>17391.2</v>
      </c>
      <c r="G15" s="100"/>
      <c r="H15" s="91">
        <v>5000</v>
      </c>
      <c r="I15" s="90"/>
      <c r="J15" s="92"/>
      <c r="K15" s="90"/>
      <c r="L15" s="93"/>
    </row>
    <row r="16" spans="2:12">
      <c r="B16" s="102" t="s">
        <v>112</v>
      </c>
      <c r="C16" s="87">
        <v>204100</v>
      </c>
      <c r="D16" s="99">
        <v>148978.57</v>
      </c>
      <c r="E16" s="100"/>
      <c r="F16" s="87"/>
      <c r="G16" s="100"/>
      <c r="H16" s="103"/>
      <c r="I16" s="90"/>
      <c r="J16" s="92"/>
      <c r="K16" s="90"/>
      <c r="L16" s="93"/>
    </row>
    <row r="17" s="73" customFormat="1" ht="12.75" spans="2:12">
      <c r="B17" s="104" t="s">
        <v>113</v>
      </c>
      <c r="C17" s="105">
        <f t="shared" ref="C17:L17" si="0">SUM(C5:C16)</f>
        <v>1588560</v>
      </c>
      <c r="D17" s="105">
        <f t="shared" si="0"/>
        <v>1132916.88</v>
      </c>
      <c r="E17" s="105">
        <f t="shared" si="0"/>
        <v>37817</v>
      </c>
      <c r="F17" s="105">
        <f t="shared" si="0"/>
        <v>111337.84</v>
      </c>
      <c r="G17" s="105">
        <f t="shared" si="0"/>
        <v>11939</v>
      </c>
      <c r="H17" s="105">
        <f t="shared" si="0"/>
        <v>45653.59</v>
      </c>
      <c r="I17" s="105">
        <f t="shared" si="0"/>
        <v>0</v>
      </c>
      <c r="J17" s="105">
        <f t="shared" si="0"/>
        <v>0</v>
      </c>
      <c r="K17" s="105">
        <f t="shared" si="0"/>
        <v>0</v>
      </c>
      <c r="L17" s="106">
        <f t="shared" si="0"/>
        <v>0</v>
      </c>
    </row>
    <row r="18" ht="26" customHeight="1" spans="2:12">
      <c r="B18" s="107"/>
      <c r="C18" s="107"/>
      <c r="D18" s="107"/>
      <c r="E18" s="107"/>
      <c r="F18" s="107"/>
      <c r="G18" s="107"/>
      <c r="H18" s="107"/>
      <c r="I18" s="107"/>
      <c r="J18" s="107"/>
      <c r="K18" s="107"/>
    </row>
    <row r="19" ht="28.05" customHeight="1" spans="2:12">
      <c r="B19" s="108"/>
      <c r="C19" s="108"/>
      <c r="D19" s="108"/>
      <c r="E19" s="108"/>
      <c r="F19" s="108"/>
      <c r="G19" s="108"/>
      <c r="H19" s="108"/>
      <c r="I19" s="108"/>
      <c r="J19" s="108"/>
      <c r="K19" s="107"/>
    </row>
    <row r="20" customHeight="1" spans="2:12">
      <c r="B20" s="75" t="s">
        <v>83</v>
      </c>
      <c r="C20" s="76"/>
      <c r="D20" s="76"/>
      <c r="E20" s="76"/>
      <c r="F20" s="77">
        <v>2024</v>
      </c>
      <c r="G20" s="77" t="s">
        <v>84</v>
      </c>
      <c r="H20" s="78" t="s">
        <v>85</v>
      </c>
      <c r="I20" s="78"/>
      <c r="J20" s="78"/>
      <c r="K20" s="78"/>
      <c r="L20" s="79"/>
    </row>
    <row r="21" ht="13.5" spans="2:12">
      <c r="B21" s="80" t="s">
        <v>86</v>
      </c>
      <c r="C21" s="81" t="s">
        <v>87</v>
      </c>
      <c r="D21" s="81"/>
      <c r="E21" s="81" t="s">
        <v>88</v>
      </c>
      <c r="F21" s="81"/>
      <c r="G21" s="81" t="s">
        <v>89</v>
      </c>
      <c r="H21" s="81"/>
      <c r="I21" s="81" t="s">
        <v>90</v>
      </c>
      <c r="J21" s="81"/>
      <c r="K21" s="81" t="s">
        <v>91</v>
      </c>
      <c r="L21" s="82"/>
    </row>
    <row r="22" spans="2:12">
      <c r="B22" s="83"/>
      <c r="C22" s="84" t="s">
        <v>92</v>
      </c>
      <c r="D22" s="84" t="s">
        <v>93</v>
      </c>
      <c r="E22" s="84" t="s">
        <v>94</v>
      </c>
      <c r="F22" s="84" t="s">
        <v>93</v>
      </c>
      <c r="G22" s="84" t="s">
        <v>95</v>
      </c>
      <c r="H22" s="84" t="s">
        <v>96</v>
      </c>
      <c r="I22" s="84" t="s">
        <v>97</v>
      </c>
      <c r="J22" s="84" t="s">
        <v>98</v>
      </c>
      <c r="K22" s="84" t="s">
        <v>99</v>
      </c>
      <c r="L22" s="85" t="s">
        <v>100</v>
      </c>
    </row>
    <row r="23" customHeight="1" spans="2:12">
      <c r="B23" s="86" t="s">
        <v>101</v>
      </c>
      <c r="C23" s="87">
        <v>169700</v>
      </c>
      <c r="D23" s="88">
        <v>123288.64</v>
      </c>
      <c r="E23" s="87">
        <v>3446</v>
      </c>
      <c r="F23" s="89">
        <v>9648.8</v>
      </c>
      <c r="G23" s="90">
        <v>880</v>
      </c>
      <c r="H23" s="91">
        <v>2657.6</v>
      </c>
      <c r="I23" s="90"/>
      <c r="J23" s="92"/>
      <c r="K23" s="90"/>
      <c r="L23" s="93"/>
    </row>
    <row r="24" customHeight="1" spans="2:12">
      <c r="B24" s="86" t="s">
        <v>102</v>
      </c>
      <c r="C24" s="94">
        <v>56120</v>
      </c>
      <c r="D24" s="95">
        <v>40732.6</v>
      </c>
      <c r="E24" s="94">
        <v>2008</v>
      </c>
      <c r="F24" s="89">
        <v>5622.4</v>
      </c>
      <c r="G24" s="96">
        <v>247</v>
      </c>
      <c r="H24" s="91">
        <v>745.94</v>
      </c>
      <c r="I24" s="90"/>
      <c r="J24" s="92"/>
      <c r="K24" s="90"/>
      <c r="L24" s="93"/>
    </row>
    <row r="25" customHeight="1" spans="2:12">
      <c r="B25" s="86" t="s">
        <v>103</v>
      </c>
      <c r="C25" s="87">
        <v>110300</v>
      </c>
      <c r="D25" s="109">
        <v>79667.3</v>
      </c>
      <c r="E25" s="94">
        <v>1870</v>
      </c>
      <c r="F25" s="89">
        <v>7666.4</v>
      </c>
      <c r="G25" s="96">
        <v>524</v>
      </c>
      <c r="H25" s="91">
        <v>1582.48</v>
      </c>
      <c r="I25" s="90"/>
      <c r="J25" s="92"/>
      <c r="K25" s="90"/>
      <c r="L25" s="93"/>
    </row>
    <row r="26" customHeight="1" spans="2:12">
      <c r="B26" s="86" t="s">
        <v>104</v>
      </c>
      <c r="C26" s="87">
        <v>39660</v>
      </c>
      <c r="D26" s="97">
        <v>28814.18</v>
      </c>
      <c r="E26" s="94">
        <v>2202</v>
      </c>
      <c r="F26" s="89">
        <v>6165.6</v>
      </c>
      <c r="G26" s="90">
        <v>1660</v>
      </c>
      <c r="H26" s="91">
        <v>5013.2</v>
      </c>
      <c r="I26" s="90"/>
      <c r="J26" s="92"/>
      <c r="K26" s="90"/>
      <c r="L26" s="93"/>
    </row>
    <row r="27" customHeight="1" spans="2:12">
      <c r="B27" s="86" t="s">
        <v>105</v>
      </c>
      <c r="C27" s="87">
        <v>89560</v>
      </c>
      <c r="D27" s="97">
        <v>65408.99</v>
      </c>
      <c r="E27" s="94">
        <v>2272</v>
      </c>
      <c r="F27" s="89">
        <v>6361.6</v>
      </c>
      <c r="G27" s="90">
        <v>1107</v>
      </c>
      <c r="H27" s="91">
        <v>3343.14</v>
      </c>
      <c r="I27" s="90"/>
      <c r="J27" s="92"/>
      <c r="K27" s="90"/>
      <c r="L27" s="93"/>
    </row>
    <row r="28" customHeight="1" spans="2:12">
      <c r="B28" s="86" t="s">
        <v>106</v>
      </c>
      <c r="C28" s="87">
        <v>155780</v>
      </c>
      <c r="D28" s="97">
        <v>122174.05</v>
      </c>
      <c r="E28" s="94">
        <v>2654</v>
      </c>
      <c r="F28" s="89">
        <v>7431.2</v>
      </c>
      <c r="G28" s="90">
        <v>958</v>
      </c>
      <c r="H28" s="91">
        <v>2893.16</v>
      </c>
      <c r="I28" s="90"/>
      <c r="J28" s="92"/>
      <c r="K28" s="90"/>
      <c r="L28" s="93"/>
    </row>
    <row r="29" customHeight="1" spans="2:12">
      <c r="B29" s="86" t="s">
        <v>107</v>
      </c>
      <c r="C29" s="87">
        <v>181000</v>
      </c>
      <c r="D29" s="98">
        <v>139767.42</v>
      </c>
      <c r="E29" s="94">
        <v>1282</v>
      </c>
      <c r="F29" s="89">
        <v>5255.6</v>
      </c>
      <c r="G29" s="96">
        <v>1179</v>
      </c>
      <c r="H29" s="91">
        <v>3560.58</v>
      </c>
      <c r="I29" s="90"/>
      <c r="J29" s="92"/>
      <c r="K29" s="90"/>
      <c r="L29" s="93"/>
    </row>
    <row r="30" customHeight="1" spans="2:12">
      <c r="B30" s="86" t="s">
        <v>108</v>
      </c>
      <c r="C30" s="87">
        <v>194900</v>
      </c>
      <c r="D30" s="99">
        <v>149893.8</v>
      </c>
      <c r="E30" s="94">
        <v>2592</v>
      </c>
      <c r="F30" s="89">
        <v>7257.6</v>
      </c>
      <c r="G30" s="87">
        <v>1325</v>
      </c>
      <c r="H30" s="91">
        <v>4001.5</v>
      </c>
      <c r="I30" s="90"/>
      <c r="J30" s="92"/>
      <c r="K30" s="90"/>
      <c r="L30" s="93"/>
    </row>
    <row r="31" customHeight="1" spans="2:12">
      <c r="B31" s="86" t="s">
        <v>109</v>
      </c>
      <c r="C31" s="87">
        <v>149400</v>
      </c>
      <c r="D31" s="99">
        <v>105747.11</v>
      </c>
      <c r="E31" s="100">
        <v>2650</v>
      </c>
      <c r="F31" s="89">
        <v>7420</v>
      </c>
      <c r="G31" s="101">
        <v>1226</v>
      </c>
      <c r="H31" s="91">
        <v>3702.52</v>
      </c>
      <c r="I31" s="90"/>
      <c r="J31" s="92"/>
      <c r="K31" s="90"/>
      <c r="L31" s="93"/>
    </row>
    <row r="32" customHeight="1" spans="2:12">
      <c r="B32" s="86" t="s">
        <v>110</v>
      </c>
      <c r="C32" s="87">
        <v>41600</v>
      </c>
      <c r="D32" s="99">
        <v>28570.13</v>
      </c>
      <c r="E32" s="100">
        <v>1099</v>
      </c>
      <c r="F32" s="89">
        <v>3077.2</v>
      </c>
      <c r="G32" s="100">
        <v>1097</v>
      </c>
      <c r="H32" s="91">
        <v>3312.94</v>
      </c>
      <c r="I32" s="90"/>
      <c r="J32" s="92"/>
      <c r="K32" s="90"/>
      <c r="L32" s="93"/>
    </row>
    <row r="33" customHeight="1" spans="2:12">
      <c r="B33" s="102" t="s">
        <v>111</v>
      </c>
      <c r="C33" s="87">
        <v>115280</v>
      </c>
      <c r="D33" s="98">
        <v>81198.03</v>
      </c>
      <c r="E33" s="100">
        <v>2990</v>
      </c>
      <c r="F33" s="89">
        <v>8372</v>
      </c>
      <c r="G33" s="100">
        <v>1558</v>
      </c>
      <c r="H33" s="91">
        <v>4705.16</v>
      </c>
      <c r="I33" s="90"/>
      <c r="J33" s="92"/>
      <c r="K33" s="90"/>
      <c r="L33" s="93"/>
    </row>
    <row r="34" customHeight="1" spans="2:12">
      <c r="B34" s="102" t="s">
        <v>112</v>
      </c>
      <c r="C34" s="87">
        <v>193900</v>
      </c>
      <c r="D34" s="99">
        <v>142615.63</v>
      </c>
      <c r="E34" s="100">
        <v>2666</v>
      </c>
      <c r="F34" s="87">
        <v>10931.67</v>
      </c>
      <c r="G34" s="100">
        <v>1294</v>
      </c>
      <c r="H34" s="103">
        <v>3907.88</v>
      </c>
      <c r="I34" s="90"/>
      <c r="J34" s="92"/>
      <c r="K34" s="90"/>
      <c r="L34" s="93"/>
    </row>
    <row r="35" customHeight="1" spans="2:12">
      <c r="B35" s="104" t="s">
        <v>113</v>
      </c>
      <c r="C35" s="105">
        <f t="shared" ref="C35:L35" si="1">SUM(C23:C34)</f>
        <v>1497200</v>
      </c>
      <c r="D35" s="105">
        <f t="shared" si="1"/>
        <v>1107877.88</v>
      </c>
      <c r="E35" s="105">
        <f t="shared" si="1"/>
        <v>27731</v>
      </c>
      <c r="F35" s="105">
        <f t="shared" si="1"/>
        <v>85210.07</v>
      </c>
      <c r="G35" s="105">
        <f t="shared" si="1"/>
        <v>13055</v>
      </c>
      <c r="H35" s="105">
        <f t="shared" si="1"/>
        <v>39426.1</v>
      </c>
      <c r="I35" s="105">
        <f t="shared" si="1"/>
        <v>0</v>
      </c>
      <c r="J35" s="105">
        <f t="shared" si="1"/>
        <v>0</v>
      </c>
      <c r="K35" s="105">
        <f t="shared" si="1"/>
        <v>0</v>
      </c>
      <c r="L35" s="106">
        <f t="shared" si="1"/>
        <v>0</v>
      </c>
    </row>
    <row r="36" customHeight="1" spans="2:12">
      <c r="B36" s="107"/>
      <c r="C36" s="107"/>
      <c r="D36" s="107"/>
      <c r="E36" s="107"/>
      <c r="F36" s="107"/>
      <c r="G36" s="107"/>
      <c r="H36" s="107"/>
      <c r="I36" s="107"/>
      <c r="J36" s="107"/>
      <c r="K36" s="107"/>
    </row>
    <row r="37" customHeight="1" spans="2:12">
      <c r="B37" s="108"/>
      <c r="C37" s="108"/>
      <c r="D37" s="108"/>
      <c r="E37" s="108"/>
      <c r="F37" s="108"/>
      <c r="G37" s="108"/>
      <c r="H37" s="108"/>
      <c r="I37" s="108"/>
      <c r="J37" s="108"/>
      <c r="K37" s="107"/>
    </row>
    <row r="38" customHeight="1" spans="2:12">
      <c r="B38" s="75" t="s">
        <v>83</v>
      </c>
      <c r="C38" s="76"/>
      <c r="D38" s="76"/>
      <c r="E38" s="76"/>
      <c r="F38" s="77">
        <v>2023</v>
      </c>
      <c r="G38" s="77" t="s">
        <v>84</v>
      </c>
      <c r="H38" s="78" t="s">
        <v>85</v>
      </c>
      <c r="I38" s="78"/>
      <c r="J38" s="78"/>
      <c r="K38" s="78"/>
      <c r="L38" s="79"/>
    </row>
    <row r="39" ht="13.5" spans="2:12">
      <c r="B39" s="80" t="s">
        <v>86</v>
      </c>
      <c r="C39" s="81" t="s">
        <v>87</v>
      </c>
      <c r="D39" s="81"/>
      <c r="E39" s="81" t="s">
        <v>88</v>
      </c>
      <c r="F39" s="81"/>
      <c r="G39" s="81" t="s">
        <v>89</v>
      </c>
      <c r="H39" s="81"/>
      <c r="I39" s="81" t="s">
        <v>90</v>
      </c>
      <c r="J39" s="81"/>
      <c r="K39" s="81" t="s">
        <v>91</v>
      </c>
      <c r="L39" s="82"/>
    </row>
    <row r="40" ht="13.5" spans="2:12">
      <c r="B40" s="83"/>
      <c r="C40" s="84" t="s">
        <v>92</v>
      </c>
      <c r="D40" s="84" t="s">
        <v>93</v>
      </c>
      <c r="E40" s="84" t="s">
        <v>94</v>
      </c>
      <c r="F40" s="84" t="s">
        <v>93</v>
      </c>
      <c r="G40" s="84" t="s">
        <v>95</v>
      </c>
      <c r="H40" s="84" t="s">
        <v>96</v>
      </c>
      <c r="I40" s="84" t="s">
        <v>97</v>
      </c>
      <c r="J40" s="84" t="s">
        <v>98</v>
      </c>
      <c r="K40" s="84" t="s">
        <v>99</v>
      </c>
      <c r="L40" s="85" t="s">
        <v>100</v>
      </c>
    </row>
    <row r="41" customHeight="1" spans="2:12">
      <c r="B41" s="86" t="s">
        <v>101</v>
      </c>
      <c r="C41" s="87">
        <v>234160</v>
      </c>
      <c r="D41" s="88">
        <v>162853.71</v>
      </c>
      <c r="E41" s="87">
        <v>2090</v>
      </c>
      <c r="F41" s="87">
        <v>9554.52</v>
      </c>
      <c r="G41" s="90"/>
      <c r="H41" s="91"/>
      <c r="I41" s="90"/>
      <c r="J41" s="92"/>
      <c r="K41" s="90"/>
      <c r="L41" s="93"/>
    </row>
    <row r="42" customHeight="1" spans="2:12">
      <c r="B42" s="86" t="s">
        <v>102</v>
      </c>
      <c r="C42" s="94">
        <v>179500</v>
      </c>
      <c r="D42" s="95">
        <v>125869.89</v>
      </c>
      <c r="E42" s="94">
        <v>1060</v>
      </c>
      <c r="F42" s="89">
        <v>2968</v>
      </c>
      <c r="G42" s="96">
        <v>888</v>
      </c>
      <c r="H42" s="91">
        <v>2681.76</v>
      </c>
      <c r="I42" s="90"/>
      <c r="J42" s="92"/>
      <c r="K42" s="90"/>
      <c r="L42" s="93"/>
    </row>
    <row r="43" customHeight="1" spans="2:12">
      <c r="B43" s="86" t="s">
        <v>103</v>
      </c>
      <c r="C43" s="87">
        <v>162120</v>
      </c>
      <c r="D43" s="109">
        <v>110250.7</v>
      </c>
      <c r="E43" s="94">
        <v>7142</v>
      </c>
      <c r="F43" s="89">
        <v>20000</v>
      </c>
      <c r="G43" s="96">
        <v>1017</v>
      </c>
      <c r="H43" s="91">
        <v>3071.34</v>
      </c>
      <c r="I43" s="90"/>
      <c r="J43" s="92"/>
      <c r="K43" s="90"/>
      <c r="L43" s="93"/>
    </row>
    <row r="44" ht="12.75" customHeight="1" spans="2:12">
      <c r="B44" s="86" t="s">
        <v>104</v>
      </c>
      <c r="C44" s="87">
        <v>134760</v>
      </c>
      <c r="D44" s="97">
        <v>90613.11</v>
      </c>
      <c r="E44" s="94"/>
      <c r="F44" s="89"/>
      <c r="G44" s="90">
        <v>1531</v>
      </c>
      <c r="H44" s="91">
        <v>4623.62</v>
      </c>
      <c r="I44" s="90"/>
      <c r="J44" s="92"/>
      <c r="K44" s="90"/>
      <c r="L44" s="93"/>
    </row>
    <row r="45" ht="12.75" customHeight="1" spans="2:12">
      <c r="B45" s="86" t="s">
        <v>105</v>
      </c>
      <c r="C45" s="87">
        <v>48280</v>
      </c>
      <c r="D45" s="97">
        <v>32154.46</v>
      </c>
      <c r="E45" s="94"/>
      <c r="F45" s="89"/>
      <c r="G45" s="90">
        <v>1137</v>
      </c>
      <c r="H45" s="91">
        <v>3433.74</v>
      </c>
      <c r="I45" s="90"/>
      <c r="J45" s="92"/>
      <c r="K45" s="90"/>
      <c r="L45" s="93"/>
    </row>
    <row r="46" ht="12.75" customHeight="1" spans="2:12">
      <c r="B46" s="86" t="s">
        <v>106</v>
      </c>
      <c r="C46" s="87">
        <v>65220</v>
      </c>
      <c r="D46" s="97">
        <v>43664.11</v>
      </c>
      <c r="E46" s="94"/>
      <c r="F46" s="89"/>
      <c r="G46" s="90"/>
      <c r="H46" s="91"/>
      <c r="I46" s="90"/>
      <c r="J46" s="92"/>
      <c r="K46" s="90"/>
      <c r="L46" s="93"/>
    </row>
    <row r="47" ht="12.75" customHeight="1" spans="2:12">
      <c r="B47" s="86" t="s">
        <v>107</v>
      </c>
      <c r="C47" s="87">
        <v>145060</v>
      </c>
      <c r="D47" s="98">
        <v>108841.67</v>
      </c>
      <c r="E47" s="94">
        <v>1814</v>
      </c>
      <c r="F47" s="89">
        <v>5079.2</v>
      </c>
      <c r="G47" s="96">
        <v>1700</v>
      </c>
      <c r="H47" s="91">
        <v>5134</v>
      </c>
      <c r="I47" s="90"/>
      <c r="J47" s="92"/>
      <c r="K47" s="90"/>
      <c r="L47" s="93"/>
    </row>
    <row r="48" ht="12.75" customHeight="1" spans="2:12">
      <c r="B48" s="86" t="s">
        <v>108</v>
      </c>
      <c r="C48" s="87">
        <v>181620</v>
      </c>
      <c r="D48" s="98">
        <v>141619.55</v>
      </c>
      <c r="E48" s="94">
        <v>2161</v>
      </c>
      <c r="F48" s="89">
        <v>6031.2</v>
      </c>
      <c r="G48" s="87">
        <v>1204</v>
      </c>
      <c r="H48" s="91">
        <v>3636.08</v>
      </c>
      <c r="I48" s="90"/>
      <c r="J48" s="92"/>
      <c r="K48" s="90"/>
      <c r="L48" s="93"/>
    </row>
    <row r="49" ht="12.75" customHeight="1" spans="2:12">
      <c r="B49" s="86" t="s">
        <v>109</v>
      </c>
      <c r="C49" s="87">
        <v>198080</v>
      </c>
      <c r="D49" s="99">
        <v>156172.62</v>
      </c>
      <c r="E49" s="100">
        <v>1500</v>
      </c>
      <c r="F49" s="89">
        <v>4200</v>
      </c>
      <c r="G49" s="101">
        <v>2028</v>
      </c>
      <c r="H49" s="91">
        <v>6124.56</v>
      </c>
      <c r="I49" s="90"/>
      <c r="J49" s="92"/>
      <c r="K49" s="90"/>
      <c r="L49" s="93"/>
    </row>
    <row r="50" ht="12.75" customHeight="1" spans="2:12">
      <c r="B50" s="86" t="s">
        <v>110</v>
      </c>
      <c r="C50" s="87">
        <v>147940</v>
      </c>
      <c r="D50" s="99">
        <v>108563.83</v>
      </c>
      <c r="E50" s="100">
        <v>1000</v>
      </c>
      <c r="F50" s="89">
        <v>2800</v>
      </c>
      <c r="H50" s="91">
        <v>7592.28</v>
      </c>
      <c r="I50" s="90"/>
      <c r="J50" s="92"/>
      <c r="K50" s="90"/>
      <c r="L50" s="93"/>
    </row>
    <row r="51" ht="12.75" customHeight="1" spans="2:12">
      <c r="B51" s="102" t="s">
        <v>111</v>
      </c>
      <c r="C51" s="87">
        <v>48320</v>
      </c>
      <c r="D51" s="98">
        <v>34260.01</v>
      </c>
      <c r="E51" s="100">
        <v>1500</v>
      </c>
      <c r="F51" s="89">
        <v>4200</v>
      </c>
      <c r="G51" s="100"/>
      <c r="H51" s="91">
        <v>3364.28</v>
      </c>
      <c r="I51" s="90"/>
      <c r="J51" s="92"/>
      <c r="K51" s="90"/>
      <c r="L51" s="93"/>
    </row>
    <row r="52" ht="12.75" customHeight="1" spans="2:12">
      <c r="B52" s="102" t="s">
        <v>112</v>
      </c>
      <c r="C52" s="87">
        <v>126480</v>
      </c>
      <c r="D52" s="98">
        <v>90988.65</v>
      </c>
      <c r="E52" s="74">
        <v>1300</v>
      </c>
      <c r="F52" s="89">
        <v>3640</v>
      </c>
      <c r="G52" s="100"/>
      <c r="H52" s="103">
        <v>3421.66</v>
      </c>
      <c r="I52" s="90"/>
      <c r="J52" s="92"/>
      <c r="K52" s="90"/>
      <c r="L52" s="93"/>
    </row>
    <row r="53" ht="12.75" customHeight="1" spans="2:12">
      <c r="B53" s="104" t="s">
        <v>113</v>
      </c>
      <c r="C53" s="105">
        <f t="shared" ref="C53:L53" si="2">SUM(C41:C52)</f>
        <v>1671540</v>
      </c>
      <c r="D53" s="105">
        <f t="shared" si="2"/>
        <v>1205852.31</v>
      </c>
      <c r="E53" s="105">
        <f t="shared" si="2"/>
        <v>19567</v>
      </c>
      <c r="F53" s="105">
        <f t="shared" si="2"/>
        <v>58472.92</v>
      </c>
      <c r="G53" s="105">
        <f t="shared" si="2"/>
        <v>9505</v>
      </c>
      <c r="H53" s="105">
        <f t="shared" si="2"/>
        <v>43083.32</v>
      </c>
      <c r="I53" s="105">
        <f t="shared" si="2"/>
        <v>0</v>
      </c>
      <c r="J53" s="105">
        <f t="shared" si="2"/>
        <v>0</v>
      </c>
      <c r="K53" s="105">
        <f t="shared" si="2"/>
        <v>0</v>
      </c>
      <c r="L53" s="106">
        <f t="shared" si="2"/>
        <v>0</v>
      </c>
    </row>
    <row r="54" ht="12.75" customHeight="1"/>
    <row r="55" ht="12.75" customHeight="1"/>
    <row r="56" ht="12.75" customHeight="1" spans="2:12">
      <c r="B56" s="110" t="s">
        <v>114</v>
      </c>
      <c r="C56" s="110"/>
      <c r="D56" s="110"/>
      <c r="E56" s="110"/>
      <c r="F56" s="110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</sheetData>
  <mergeCells count="22">
    <mergeCell ref="B2:E2"/>
    <mergeCell ref="C3:D3"/>
    <mergeCell ref="E3:F3"/>
    <mergeCell ref="G3:H3"/>
    <mergeCell ref="I3:J3"/>
    <mergeCell ref="K3:L3"/>
    <mergeCell ref="B20:E20"/>
    <mergeCell ref="C21:D21"/>
    <mergeCell ref="E21:F21"/>
    <mergeCell ref="G21:H21"/>
    <mergeCell ref="I21:J21"/>
    <mergeCell ref="K21:L21"/>
    <mergeCell ref="B38:E38"/>
    <mergeCell ref="C39:D39"/>
    <mergeCell ref="E39:F39"/>
    <mergeCell ref="G39:H39"/>
    <mergeCell ref="I39:J39"/>
    <mergeCell ref="K39:L39"/>
    <mergeCell ref="B56:F56"/>
    <mergeCell ref="B3:B4"/>
    <mergeCell ref="B21:B22"/>
    <mergeCell ref="B39:B4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B30" sqref="B30:H30"/>
    </sheetView>
  </sheetViews>
  <sheetFormatPr defaultColWidth="9" defaultRowHeight="13.5"/>
  <cols>
    <col min="1" max="1" width="13.4" style="50" customWidth="1"/>
    <col min="2" max="2" width="12.0666666666667" customWidth="1"/>
    <col min="3" max="8" width="8.53333333333333" customWidth="1"/>
    <col min="9" max="9" width="20.5333333333333" customWidth="1"/>
  </cols>
  <sheetData>
    <row r="1" ht="20.25" spans="1:10">
      <c r="A1" s="51" t="s">
        <v>115</v>
      </c>
      <c r="B1" s="52"/>
      <c r="C1" s="52"/>
      <c r="D1" s="52"/>
      <c r="E1" s="52"/>
      <c r="F1" s="52"/>
      <c r="G1" s="52"/>
      <c r="H1" s="53"/>
      <c r="I1" s="49"/>
      <c r="J1" s="49"/>
    </row>
    <row r="2" s="49" customFormat="1" ht="12" spans="1:10">
      <c r="A2" s="10" t="s">
        <v>116</v>
      </c>
      <c r="B2" s="54" t="s">
        <v>117</v>
      </c>
      <c r="C2" s="55"/>
      <c r="D2" s="55"/>
      <c r="E2" s="55"/>
      <c r="F2" s="55"/>
      <c r="G2" s="55"/>
      <c r="H2" s="56"/>
      <c r="I2" s="48" t="s">
        <v>118</v>
      </c>
    </row>
    <row r="3" s="49" customFormat="1" ht="12" spans="1:10">
      <c r="A3" s="10" t="s">
        <v>119</v>
      </c>
      <c r="B3" s="22"/>
      <c r="C3" s="23"/>
      <c r="D3" s="23"/>
      <c r="E3" s="23"/>
      <c r="F3" s="23"/>
      <c r="G3" s="23"/>
      <c r="H3" s="24"/>
    </row>
    <row r="4" s="49" customFormat="1" ht="12" spans="1:10">
      <c r="A4" s="10" t="s">
        <v>120</v>
      </c>
      <c r="B4" s="22" t="s">
        <v>121</v>
      </c>
      <c r="C4" s="23"/>
      <c r="D4" s="23"/>
      <c r="E4" s="23"/>
      <c r="F4" s="23"/>
      <c r="G4" s="23"/>
      <c r="H4" s="24"/>
    </row>
    <row r="5" s="49" customFormat="1" ht="12" spans="1:10">
      <c r="A5" s="10" t="s">
        <v>122</v>
      </c>
      <c r="B5" s="22" t="s">
        <v>123</v>
      </c>
      <c r="C5" s="23"/>
      <c r="D5" s="23"/>
      <c r="E5" s="23"/>
      <c r="F5" s="23"/>
      <c r="G5" s="23"/>
      <c r="H5" s="24"/>
    </row>
    <row r="6" s="49" customFormat="1" ht="12" spans="1:10">
      <c r="A6" s="10" t="s">
        <v>71</v>
      </c>
      <c r="B6" s="22" t="s">
        <v>124</v>
      </c>
      <c r="C6" s="23"/>
      <c r="D6" s="23"/>
      <c r="E6" s="23"/>
      <c r="F6" s="23"/>
      <c r="G6" s="23"/>
      <c r="H6" s="24"/>
    </row>
    <row r="7" s="49" customFormat="1" ht="24" spans="1:10">
      <c r="A7" s="57" t="s">
        <v>125</v>
      </c>
      <c r="B7" s="10" t="s">
        <v>126</v>
      </c>
      <c r="C7" s="10" t="s">
        <v>127</v>
      </c>
      <c r="D7" s="10" t="s">
        <v>128</v>
      </c>
      <c r="E7" s="10" t="s">
        <v>129</v>
      </c>
      <c r="F7" s="10" t="s">
        <v>130</v>
      </c>
      <c r="G7" s="10" t="s">
        <v>131</v>
      </c>
      <c r="H7" s="10" t="s">
        <v>132</v>
      </c>
    </row>
    <row r="8" s="49" customFormat="1" ht="12" spans="1:10">
      <c r="A8" s="58"/>
      <c r="B8" s="11" t="s">
        <v>133</v>
      </c>
      <c r="C8" s="11">
        <v>2241.4</v>
      </c>
      <c r="D8" s="11">
        <v>411.2</v>
      </c>
      <c r="E8" s="11">
        <v>5.45</v>
      </c>
      <c r="F8" s="11">
        <v>3</v>
      </c>
      <c r="G8" s="11" t="s">
        <v>134</v>
      </c>
      <c r="H8" s="11" t="s">
        <v>135</v>
      </c>
    </row>
    <row r="9" s="49" customFormat="1" ht="12" spans="1:10">
      <c r="A9" s="58"/>
      <c r="B9" s="11"/>
      <c r="C9" s="11"/>
      <c r="D9" s="11"/>
      <c r="E9" s="11"/>
      <c r="F9" s="11"/>
      <c r="G9" s="11"/>
      <c r="H9" s="11"/>
    </row>
    <row r="10" s="49" customFormat="1" ht="12" spans="1:10">
      <c r="A10" s="59"/>
      <c r="B10" s="13"/>
      <c r="C10" s="13"/>
      <c r="D10" s="13"/>
      <c r="E10" s="13"/>
      <c r="F10" s="13"/>
      <c r="G10" s="13"/>
      <c r="H10" s="13"/>
    </row>
    <row r="11" s="49" customFormat="1" ht="24" spans="1:10">
      <c r="A11" s="60" t="s">
        <v>136</v>
      </c>
      <c r="B11" s="22" t="s">
        <v>137</v>
      </c>
      <c r="C11" s="23"/>
      <c r="D11" s="23"/>
      <c r="E11" s="23"/>
      <c r="F11" s="23"/>
      <c r="G11" s="23"/>
      <c r="H11" s="24"/>
    </row>
    <row r="12" s="49" customFormat="1" ht="24" spans="1:10">
      <c r="A12" s="10" t="s">
        <v>138</v>
      </c>
      <c r="B12" s="10" t="s">
        <v>139</v>
      </c>
      <c r="C12" s="10" t="s">
        <v>140</v>
      </c>
      <c r="D12" s="10" t="s">
        <v>141</v>
      </c>
      <c r="E12" s="10" t="s">
        <v>128</v>
      </c>
      <c r="F12" s="10" t="s">
        <v>130</v>
      </c>
      <c r="G12" s="10" t="s">
        <v>131</v>
      </c>
      <c r="H12" s="10" t="s">
        <v>132</v>
      </c>
    </row>
    <row r="13" s="49" customFormat="1" ht="12" spans="1:10">
      <c r="A13" s="10"/>
      <c r="B13" s="11" t="s">
        <v>142</v>
      </c>
      <c r="C13" s="11">
        <v>500</v>
      </c>
      <c r="D13" s="11">
        <v>36</v>
      </c>
      <c r="E13" s="11">
        <v>75</v>
      </c>
      <c r="F13" s="11">
        <v>4</v>
      </c>
      <c r="G13" s="11" t="s">
        <v>143</v>
      </c>
      <c r="H13" s="11" t="s">
        <v>135</v>
      </c>
    </row>
    <row r="14" s="49" customFormat="1" ht="12" spans="1:10">
      <c r="A14" s="10"/>
      <c r="B14" s="13"/>
      <c r="C14" s="13"/>
      <c r="D14" s="13"/>
      <c r="E14" s="13"/>
      <c r="F14" s="13"/>
      <c r="G14" s="13"/>
      <c r="H14" s="13"/>
    </row>
    <row r="15" s="49" customFormat="1" ht="12" spans="1:10">
      <c r="A15" s="10"/>
      <c r="B15" s="61"/>
      <c r="C15" s="61"/>
      <c r="D15" s="61"/>
      <c r="E15" s="61"/>
      <c r="F15" s="61"/>
      <c r="G15" s="61"/>
      <c r="H15" s="61"/>
    </row>
    <row r="16" s="49" customFormat="1" ht="24" spans="1:10">
      <c r="A16" s="10" t="s">
        <v>144</v>
      </c>
      <c r="B16" s="62" t="s">
        <v>145</v>
      </c>
      <c r="C16" s="63"/>
      <c r="D16" s="63"/>
      <c r="E16" s="63"/>
      <c r="F16" s="63"/>
      <c r="G16" s="63"/>
      <c r="H16" s="64"/>
    </row>
    <row r="17" s="49" customFormat="1" ht="24" spans="1:8">
      <c r="A17" s="10" t="s">
        <v>146</v>
      </c>
      <c r="B17" s="10" t="s">
        <v>147</v>
      </c>
      <c r="C17" s="10" t="s">
        <v>140</v>
      </c>
      <c r="D17" s="10" t="s">
        <v>141</v>
      </c>
      <c r="E17" s="10" t="s">
        <v>128</v>
      </c>
      <c r="F17" s="10" t="s">
        <v>130</v>
      </c>
      <c r="G17" s="10" t="s">
        <v>131</v>
      </c>
      <c r="H17" s="10" t="s">
        <v>132</v>
      </c>
    </row>
    <row r="18" s="49" customFormat="1" ht="12" spans="1:8">
      <c r="A18" s="10"/>
      <c r="B18" s="11" t="s">
        <v>142</v>
      </c>
      <c r="C18" s="11">
        <v>630</v>
      </c>
      <c r="D18" s="11">
        <v>32</v>
      </c>
      <c r="E18" s="11">
        <v>90</v>
      </c>
      <c r="F18" s="11">
        <v>4</v>
      </c>
      <c r="G18" s="11" t="s">
        <v>143</v>
      </c>
      <c r="H18" s="11" t="s">
        <v>135</v>
      </c>
    </row>
    <row r="19" s="49" customFormat="1" ht="12" spans="1:8">
      <c r="A19" s="10"/>
      <c r="B19" s="13"/>
      <c r="C19" s="13"/>
      <c r="D19" s="13"/>
      <c r="E19" s="13"/>
      <c r="F19" s="13"/>
      <c r="G19" s="13"/>
      <c r="H19" s="13"/>
    </row>
    <row r="20" s="49" customFormat="1" ht="12" spans="1:8">
      <c r="A20" s="10"/>
      <c r="B20" s="61"/>
      <c r="C20" s="61"/>
      <c r="D20" s="61"/>
      <c r="E20" s="61"/>
      <c r="F20" s="61"/>
      <c r="G20" s="61"/>
      <c r="H20" s="61"/>
    </row>
    <row r="21" s="49" customFormat="1" ht="24" spans="1:8">
      <c r="A21" s="10" t="s">
        <v>148</v>
      </c>
      <c r="B21" s="62" t="s">
        <v>149</v>
      </c>
      <c r="C21" s="63"/>
      <c r="D21" s="63"/>
      <c r="E21" s="63"/>
      <c r="F21" s="63"/>
      <c r="G21" s="63"/>
      <c r="H21" s="64"/>
    </row>
    <row r="22" s="49" customFormat="1" ht="24" spans="1:8">
      <c r="A22" s="10" t="s">
        <v>150</v>
      </c>
      <c r="B22" s="10" t="s">
        <v>151</v>
      </c>
      <c r="C22" s="10" t="s">
        <v>140</v>
      </c>
      <c r="D22" s="10" t="s">
        <v>128</v>
      </c>
      <c r="E22" s="10" t="s">
        <v>152</v>
      </c>
      <c r="F22" s="10" t="s">
        <v>130</v>
      </c>
      <c r="G22" s="10" t="s">
        <v>131</v>
      </c>
      <c r="H22" s="10" t="s">
        <v>132</v>
      </c>
    </row>
    <row r="23" s="49" customFormat="1" ht="12" spans="1:8">
      <c r="A23" s="10"/>
      <c r="B23" s="11" t="s">
        <v>153</v>
      </c>
      <c r="C23" s="11">
        <v>400</v>
      </c>
      <c r="D23" s="11" t="s">
        <v>154</v>
      </c>
      <c r="E23" s="11" t="s">
        <v>152</v>
      </c>
      <c r="F23" s="11">
        <v>6</v>
      </c>
      <c r="G23" s="11" t="s">
        <v>155</v>
      </c>
      <c r="H23" s="11" t="s">
        <v>135</v>
      </c>
    </row>
    <row r="24" s="49" customFormat="1" ht="12" spans="1:8">
      <c r="A24" s="10"/>
      <c r="B24" s="65"/>
      <c r="C24" s="65"/>
      <c r="D24" s="65"/>
      <c r="E24" s="65"/>
      <c r="F24" s="65"/>
      <c r="G24" s="65"/>
      <c r="H24" s="65"/>
    </row>
    <row r="25" s="49" customFormat="1" ht="24" spans="1:8">
      <c r="A25" s="10" t="s">
        <v>156</v>
      </c>
      <c r="B25" s="62" t="s">
        <v>157</v>
      </c>
      <c r="C25" s="63"/>
      <c r="D25" s="63"/>
      <c r="E25" s="63"/>
      <c r="F25" s="63"/>
      <c r="G25" s="63"/>
      <c r="H25" s="64"/>
    </row>
    <row r="26" s="49" customFormat="1" ht="24" spans="1:8">
      <c r="A26" s="10" t="s">
        <v>158</v>
      </c>
      <c r="B26" s="66" t="s">
        <v>159</v>
      </c>
      <c r="C26" s="67"/>
      <c r="D26" s="67"/>
      <c r="E26" s="67"/>
      <c r="F26" s="67"/>
      <c r="G26" s="67"/>
      <c r="H26" s="68"/>
    </row>
    <row r="27" s="49" customFormat="1" ht="12" spans="1:8">
      <c r="A27" s="10" t="s">
        <v>160</v>
      </c>
      <c r="B27" s="66" t="s">
        <v>161</v>
      </c>
      <c r="C27" s="67"/>
      <c r="D27" s="67"/>
      <c r="E27" s="67"/>
      <c r="F27" s="67"/>
      <c r="G27" s="67"/>
      <c r="H27" s="68"/>
    </row>
    <row r="28" s="49" customFormat="1" ht="32" customHeight="1" spans="1:8">
      <c r="A28" s="10" t="s">
        <v>162</v>
      </c>
      <c r="B28" s="66" t="s">
        <v>163</v>
      </c>
      <c r="C28" s="67"/>
      <c r="D28" s="67"/>
      <c r="E28" s="67"/>
      <c r="F28" s="67"/>
      <c r="G28" s="67"/>
      <c r="H28" s="68"/>
    </row>
    <row r="29" s="49" customFormat="1" ht="24" spans="1:8">
      <c r="A29" s="10" t="s">
        <v>164</v>
      </c>
      <c r="B29" s="66" t="s">
        <v>165</v>
      </c>
      <c r="C29" s="67"/>
      <c r="D29" s="67"/>
      <c r="E29" s="67"/>
      <c r="F29" s="67"/>
      <c r="G29" s="67"/>
      <c r="H29" s="68"/>
    </row>
    <row r="30" s="49" customFormat="1" ht="31.05" customHeight="1" spans="1:8">
      <c r="A30" s="60" t="s">
        <v>166</v>
      </c>
      <c r="B30" s="55" t="s">
        <v>167</v>
      </c>
      <c r="C30" s="55"/>
      <c r="D30" s="55"/>
      <c r="E30" s="55"/>
      <c r="F30" s="55"/>
      <c r="G30" s="55"/>
      <c r="H30" s="56"/>
    </row>
    <row r="31" s="49" customFormat="1" ht="70.05" customHeight="1" spans="1:8">
      <c r="A31" s="10" t="s">
        <v>168</v>
      </c>
      <c r="B31" s="54" t="s">
        <v>169</v>
      </c>
      <c r="C31" s="55"/>
      <c r="D31" s="55"/>
      <c r="E31" s="55"/>
      <c r="F31" s="55"/>
      <c r="G31" s="55"/>
      <c r="H31" s="56"/>
    </row>
    <row r="32" s="49" customFormat="1" ht="12" spans="1:8">
      <c r="A32" s="69" t="s">
        <v>170</v>
      </c>
      <c r="B32" s="69"/>
      <c r="C32" s="69"/>
      <c r="D32" s="69"/>
      <c r="E32" s="69"/>
      <c r="F32" s="69"/>
      <c r="G32" s="69"/>
    </row>
    <row r="33" spans="1:9">
      <c r="A33" s="69"/>
      <c r="B33" s="69"/>
      <c r="C33" s="69"/>
      <c r="D33" s="69"/>
      <c r="E33" s="69"/>
      <c r="F33" s="69"/>
      <c r="G33" s="69"/>
      <c r="I33" s="49"/>
    </row>
    <row r="34" spans="1:9">
      <c r="I34" s="49"/>
    </row>
    <row r="35" spans="1:9">
      <c r="I35" s="49"/>
    </row>
    <row r="36" spans="1:9">
      <c r="I36" s="49"/>
    </row>
    <row r="37" spans="1:9">
      <c r="I37" s="49"/>
    </row>
    <row r="38" spans="1:9">
      <c r="I38" s="49"/>
    </row>
  </sheetData>
  <mergeCells count="22">
    <mergeCell ref="A1:H1"/>
    <mergeCell ref="B2:H2"/>
    <mergeCell ref="B3:H3"/>
    <mergeCell ref="B4:H4"/>
    <mergeCell ref="B5:H5"/>
    <mergeCell ref="B6:H6"/>
    <mergeCell ref="B11:H11"/>
    <mergeCell ref="B16:H16"/>
    <mergeCell ref="B21:H21"/>
    <mergeCell ref="B25:H25"/>
    <mergeCell ref="B26:H26"/>
    <mergeCell ref="B27:H27"/>
    <mergeCell ref="B28:H28"/>
    <mergeCell ref="B29:H29"/>
    <mergeCell ref="B30:H30"/>
    <mergeCell ref="B31:H31"/>
    <mergeCell ref="A32:G32"/>
    <mergeCell ref="A33:G33"/>
    <mergeCell ref="A7:A10"/>
    <mergeCell ref="A12:A15"/>
    <mergeCell ref="A17:A20"/>
    <mergeCell ref="A22:A2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B10" sqref="B10:H10"/>
    </sheetView>
  </sheetViews>
  <sheetFormatPr defaultColWidth="9" defaultRowHeight="13.5" outlineLevelCol="7"/>
  <cols>
    <col min="1" max="1" width="12.4" customWidth="1"/>
    <col min="2" max="2" width="12.5333333333333" customWidth="1"/>
    <col min="3" max="4" width="9.86666666666667" customWidth="1"/>
    <col min="5" max="8" width="8.53333333333333" customWidth="1"/>
  </cols>
  <sheetData>
    <row r="1" ht="20.25" spans="1:8">
      <c r="A1" s="34" t="s">
        <v>171</v>
      </c>
      <c r="B1" s="35"/>
      <c r="C1" s="35"/>
      <c r="D1" s="35"/>
      <c r="E1" s="35"/>
      <c r="F1" s="35"/>
      <c r="G1" s="35"/>
      <c r="H1" s="35"/>
    </row>
    <row r="2" spans="1:8">
      <c r="A2" s="10" t="s">
        <v>116</v>
      </c>
      <c r="B2" s="11" t="s">
        <v>172</v>
      </c>
      <c r="C2" s="11"/>
      <c r="D2" s="11"/>
      <c r="E2" s="11"/>
      <c r="F2" s="11"/>
      <c r="G2" s="11"/>
      <c r="H2" s="11"/>
    </row>
    <row r="3" spans="1:8">
      <c r="A3" s="10" t="s">
        <v>119</v>
      </c>
      <c r="B3" s="11"/>
      <c r="C3" s="11"/>
      <c r="D3" s="11"/>
      <c r="E3" s="11"/>
      <c r="F3" s="11"/>
      <c r="G3" s="11"/>
      <c r="H3" s="11"/>
    </row>
    <row r="4" spans="1:8">
      <c r="A4" s="10" t="s">
        <v>120</v>
      </c>
      <c r="B4" s="11" t="s">
        <v>121</v>
      </c>
      <c r="C4" s="11"/>
      <c r="D4" s="11"/>
      <c r="E4" s="11"/>
      <c r="F4" s="11"/>
      <c r="G4" s="11"/>
      <c r="H4" s="11"/>
    </row>
    <row r="5" spans="1:8">
      <c r="A5" s="10" t="s">
        <v>122</v>
      </c>
      <c r="B5" s="11" t="s">
        <v>173</v>
      </c>
      <c r="C5" s="11"/>
      <c r="D5" s="11"/>
      <c r="E5" s="11"/>
      <c r="F5" s="11"/>
      <c r="G5" s="11"/>
      <c r="H5" s="11"/>
    </row>
    <row r="6" spans="1:8">
      <c r="A6" s="10" t="s">
        <v>71</v>
      </c>
      <c r="B6" s="11" t="s">
        <v>124</v>
      </c>
      <c r="C6" s="11"/>
      <c r="D6" s="11"/>
      <c r="E6" s="11"/>
      <c r="F6" s="11"/>
      <c r="G6" s="11"/>
      <c r="H6" s="11"/>
    </row>
    <row r="7" ht="24" spans="1:8">
      <c r="A7" s="10" t="s">
        <v>174</v>
      </c>
      <c r="B7" s="10" t="s">
        <v>175</v>
      </c>
      <c r="C7" s="10" t="s">
        <v>175</v>
      </c>
      <c r="D7" s="10" t="s">
        <v>176</v>
      </c>
      <c r="E7" s="10" t="s">
        <v>177</v>
      </c>
      <c r="F7" s="10" t="s">
        <v>130</v>
      </c>
      <c r="G7" s="10" t="s">
        <v>131</v>
      </c>
      <c r="H7" s="10" t="s">
        <v>132</v>
      </c>
    </row>
    <row r="8" spans="1:8">
      <c r="A8" s="10"/>
      <c r="B8" s="11" t="s">
        <v>178</v>
      </c>
      <c r="C8" s="11" t="s">
        <v>179</v>
      </c>
      <c r="D8" s="11"/>
      <c r="E8" s="36"/>
      <c r="F8" s="11"/>
      <c r="G8" s="11"/>
      <c r="H8" s="11"/>
    </row>
    <row r="9" spans="1:8">
      <c r="A9" s="10"/>
      <c r="B9" s="11" t="s">
        <v>180</v>
      </c>
      <c r="C9" s="11" t="s">
        <v>179</v>
      </c>
      <c r="D9" s="37"/>
      <c r="E9" s="38"/>
      <c r="F9" s="37"/>
      <c r="G9" s="39"/>
      <c r="H9" s="39"/>
    </row>
    <row r="10" ht="41" customHeight="1" spans="1:8">
      <c r="A10" s="10" t="s">
        <v>181</v>
      </c>
      <c r="B10" s="40" t="s">
        <v>182</v>
      </c>
      <c r="C10" s="41"/>
      <c r="D10" s="41"/>
      <c r="E10" s="41"/>
      <c r="F10" s="41"/>
      <c r="G10" s="41"/>
      <c r="H10" s="42"/>
    </row>
    <row r="11" spans="1:8">
      <c r="A11" s="10" t="s">
        <v>183</v>
      </c>
      <c r="B11" s="10" t="s">
        <v>184</v>
      </c>
      <c r="C11" s="10" t="s">
        <v>140</v>
      </c>
      <c r="D11" s="10" t="s">
        <v>141</v>
      </c>
      <c r="E11" s="10" t="s">
        <v>128</v>
      </c>
      <c r="F11" s="10" t="s">
        <v>130</v>
      </c>
      <c r="G11" s="10" t="s">
        <v>131</v>
      </c>
      <c r="H11" s="10" t="s">
        <v>132</v>
      </c>
    </row>
    <row r="12" spans="1:8">
      <c r="A12" s="10"/>
      <c r="B12" s="11" t="s">
        <v>185</v>
      </c>
      <c r="C12" s="11"/>
      <c r="D12" s="11"/>
      <c r="E12" s="11"/>
      <c r="F12" s="11"/>
      <c r="G12" s="11"/>
      <c r="H12" s="11"/>
    </row>
    <row r="13" spans="1:8">
      <c r="A13" s="10"/>
      <c r="B13" s="11" t="s">
        <v>186</v>
      </c>
      <c r="C13" s="20"/>
      <c r="D13" s="11"/>
      <c r="E13" s="20"/>
      <c r="F13" s="11"/>
      <c r="G13" s="21"/>
      <c r="H13" s="21"/>
    </row>
    <row r="14" spans="1:8">
      <c r="A14" s="10"/>
      <c r="B14" s="11"/>
      <c r="C14" s="20"/>
      <c r="D14" s="11"/>
      <c r="E14" s="20"/>
      <c r="F14" s="11"/>
      <c r="G14" s="21"/>
      <c r="H14" s="21"/>
    </row>
    <row r="15" ht="24" spans="1:8">
      <c r="A15" s="10" t="s">
        <v>187</v>
      </c>
      <c r="B15" s="22"/>
      <c r="C15" s="23"/>
      <c r="D15" s="23"/>
      <c r="E15" s="23"/>
      <c r="F15" s="23"/>
      <c r="G15" s="23"/>
      <c r="H15" s="24"/>
    </row>
    <row r="16" ht="25.5" spans="1:8">
      <c r="A16" s="10" t="s">
        <v>188</v>
      </c>
      <c r="B16" s="10" t="s">
        <v>189</v>
      </c>
      <c r="C16" s="10" t="s">
        <v>190</v>
      </c>
      <c r="D16" s="10" t="s">
        <v>191</v>
      </c>
      <c r="E16" s="10" t="s">
        <v>192</v>
      </c>
      <c r="F16" s="10" t="s">
        <v>130</v>
      </c>
      <c r="G16" s="10" t="s">
        <v>131</v>
      </c>
      <c r="H16" s="10" t="s">
        <v>132</v>
      </c>
    </row>
    <row r="17" spans="1:8">
      <c r="A17" s="10"/>
      <c r="B17" s="11" t="s">
        <v>193</v>
      </c>
      <c r="C17" s="20"/>
      <c r="D17" s="11"/>
      <c r="E17" s="20"/>
      <c r="F17" s="11"/>
      <c r="G17" s="11"/>
      <c r="H17" s="11"/>
    </row>
    <row r="18" spans="1:8">
      <c r="A18" s="10"/>
      <c r="B18" s="11"/>
      <c r="C18" s="20"/>
      <c r="D18" s="11"/>
      <c r="E18" s="20"/>
      <c r="F18" s="11"/>
      <c r="G18" s="11"/>
      <c r="H18" s="11"/>
    </row>
    <row r="19" ht="24" spans="1:8">
      <c r="A19" s="10" t="s">
        <v>194</v>
      </c>
      <c r="B19" s="22"/>
      <c r="C19" s="23"/>
      <c r="D19" s="23"/>
      <c r="E19" s="23"/>
      <c r="F19" s="23"/>
      <c r="G19" s="23"/>
      <c r="H19" s="24"/>
    </row>
    <row r="20" spans="1:8">
      <c r="A20" s="10" t="s">
        <v>195</v>
      </c>
      <c r="B20" s="10" t="s">
        <v>184</v>
      </c>
      <c r="C20" s="10" t="s">
        <v>140</v>
      </c>
      <c r="D20" s="10" t="s">
        <v>141</v>
      </c>
      <c r="E20" s="10" t="s">
        <v>128</v>
      </c>
      <c r="F20" s="10" t="s">
        <v>130</v>
      </c>
      <c r="G20" s="10" t="s">
        <v>131</v>
      </c>
      <c r="H20" s="10" t="s">
        <v>132</v>
      </c>
    </row>
    <row r="21" spans="1:8">
      <c r="A21" s="10"/>
      <c r="B21" s="11" t="s">
        <v>185</v>
      </c>
      <c r="C21" s="11">
        <v>500</v>
      </c>
      <c r="D21" s="11">
        <v>36</v>
      </c>
      <c r="E21" s="11">
        <v>75</v>
      </c>
      <c r="F21" s="11"/>
      <c r="G21" s="11"/>
      <c r="H21" s="11"/>
    </row>
    <row r="22" spans="1:8">
      <c r="A22" s="10"/>
      <c r="B22" s="11" t="s">
        <v>186</v>
      </c>
      <c r="C22" s="20"/>
      <c r="D22" s="11"/>
      <c r="E22" s="20"/>
      <c r="F22" s="11"/>
      <c r="G22" s="21"/>
      <c r="H22" s="21"/>
    </row>
    <row r="23" spans="1:8">
      <c r="A23" s="10"/>
      <c r="B23" s="11"/>
      <c r="C23" s="20"/>
      <c r="D23" s="11"/>
      <c r="E23" s="20"/>
      <c r="F23" s="11"/>
      <c r="G23" s="21"/>
      <c r="H23" s="21"/>
    </row>
    <row r="24" ht="24" spans="1:8">
      <c r="A24" s="10" t="s">
        <v>187</v>
      </c>
      <c r="B24" s="22"/>
      <c r="C24" s="23"/>
      <c r="D24" s="23"/>
      <c r="E24" s="23"/>
      <c r="F24" s="23"/>
      <c r="G24" s="23"/>
      <c r="H24" s="24"/>
    </row>
    <row r="25" ht="25.5" spans="1:8">
      <c r="A25" s="10" t="s">
        <v>196</v>
      </c>
      <c r="B25" s="10" t="s">
        <v>197</v>
      </c>
      <c r="C25" s="10" t="s">
        <v>190</v>
      </c>
      <c r="D25" s="10" t="s">
        <v>198</v>
      </c>
      <c r="E25" s="10" t="s">
        <v>191</v>
      </c>
      <c r="F25" s="10" t="s">
        <v>130</v>
      </c>
      <c r="G25" s="10" t="s">
        <v>131</v>
      </c>
      <c r="H25" s="10" t="s">
        <v>132</v>
      </c>
    </row>
    <row r="26" spans="1:8">
      <c r="A26" s="10"/>
      <c r="B26" s="11" t="s">
        <v>199</v>
      </c>
      <c r="C26" s="20"/>
      <c r="D26" s="11"/>
      <c r="E26" s="20"/>
      <c r="F26" s="11"/>
      <c r="G26" s="11"/>
      <c r="H26" s="11"/>
    </row>
    <row r="27" spans="1:8">
      <c r="A27" s="10"/>
      <c r="B27" s="11"/>
      <c r="C27" s="20"/>
      <c r="D27" s="11"/>
      <c r="E27" s="20"/>
      <c r="F27" s="11"/>
      <c r="G27" s="11"/>
      <c r="H27" s="11"/>
    </row>
    <row r="28" ht="24" spans="1:8">
      <c r="A28" s="10" t="s">
        <v>200</v>
      </c>
      <c r="B28" s="22"/>
      <c r="C28" s="23"/>
      <c r="D28" s="23"/>
      <c r="E28" s="23"/>
      <c r="F28" s="23"/>
      <c r="G28" s="23"/>
      <c r="H28" s="24"/>
    </row>
    <row r="29" spans="1:8">
      <c r="A29" s="10" t="s">
        <v>201</v>
      </c>
      <c r="B29" s="10" t="s">
        <v>184</v>
      </c>
      <c r="C29" s="10" t="s">
        <v>140</v>
      </c>
      <c r="D29" s="10" t="s">
        <v>141</v>
      </c>
      <c r="E29" s="10" t="s">
        <v>128</v>
      </c>
      <c r="F29" s="10" t="s">
        <v>130</v>
      </c>
      <c r="G29" s="10" t="s">
        <v>131</v>
      </c>
      <c r="H29" s="10" t="s">
        <v>132</v>
      </c>
    </row>
    <row r="30" spans="1:8">
      <c r="A30" s="10"/>
      <c r="B30" s="11" t="s">
        <v>185</v>
      </c>
      <c r="C30" s="11">
        <v>500</v>
      </c>
      <c r="D30" s="11">
        <v>36</v>
      </c>
      <c r="E30" s="11">
        <v>75</v>
      </c>
      <c r="F30" s="11"/>
      <c r="G30" s="11"/>
      <c r="H30" s="11"/>
    </row>
    <row r="31" spans="1:8">
      <c r="A31" s="10"/>
      <c r="B31" s="11"/>
      <c r="C31" s="20"/>
      <c r="D31" s="11"/>
      <c r="E31" s="20"/>
      <c r="F31" s="11"/>
      <c r="G31" s="21"/>
      <c r="H31" s="21"/>
    </row>
    <row r="32" spans="1:8">
      <c r="A32" s="10"/>
      <c r="B32" s="11"/>
      <c r="C32" s="20"/>
      <c r="D32" s="11"/>
      <c r="E32" s="20"/>
      <c r="F32" s="11"/>
      <c r="G32" s="21"/>
      <c r="H32" s="21"/>
    </row>
    <row r="33" ht="24" spans="1:8">
      <c r="A33" s="10" t="s">
        <v>187</v>
      </c>
      <c r="B33" s="22"/>
      <c r="C33" s="23"/>
      <c r="D33" s="23"/>
      <c r="E33" s="23"/>
      <c r="F33" s="23"/>
      <c r="G33" s="23"/>
      <c r="H33" s="24"/>
    </row>
    <row r="34" ht="45" customHeight="1" spans="1:8">
      <c r="A34" s="10" t="s">
        <v>162</v>
      </c>
      <c r="B34" s="43" t="s">
        <v>202</v>
      </c>
      <c r="C34" s="44"/>
      <c r="D34" s="44"/>
      <c r="E34" s="44"/>
      <c r="F34" s="44"/>
      <c r="G34" s="44"/>
      <c r="H34" s="45"/>
    </row>
    <row r="35" ht="44" customHeight="1" spans="1:8">
      <c r="A35" s="10" t="s">
        <v>164</v>
      </c>
      <c r="B35" s="43" t="s">
        <v>165</v>
      </c>
      <c r="C35" s="44"/>
      <c r="D35" s="44"/>
      <c r="E35" s="44"/>
      <c r="F35" s="44"/>
      <c r="G35" s="44"/>
      <c r="H35" s="45"/>
    </row>
    <row r="36" ht="63" customHeight="1" spans="1:8">
      <c r="A36" s="10" t="s">
        <v>203</v>
      </c>
      <c r="B36" s="22"/>
      <c r="C36" s="23"/>
      <c r="D36" s="23"/>
      <c r="E36" s="23"/>
      <c r="F36" s="23"/>
      <c r="G36" s="23"/>
      <c r="H36" s="24"/>
    </row>
    <row r="37" spans="1:8">
      <c r="A37" s="46" t="s">
        <v>204</v>
      </c>
      <c r="B37" s="47"/>
      <c r="C37" s="47"/>
      <c r="D37" s="47"/>
      <c r="E37" s="47"/>
      <c r="F37" s="47"/>
      <c r="G37" s="47"/>
      <c r="H37" s="47"/>
    </row>
    <row r="38" spans="1:8">
      <c r="A38" s="48" t="s">
        <v>205</v>
      </c>
      <c r="B38" s="47"/>
      <c r="C38" s="47"/>
      <c r="D38" s="47"/>
      <c r="E38" s="47"/>
      <c r="F38" s="47"/>
      <c r="G38" s="47"/>
      <c r="H38" s="47"/>
    </row>
  </sheetData>
  <mergeCells count="21">
    <mergeCell ref="A1:H1"/>
    <mergeCell ref="B2:H2"/>
    <mergeCell ref="B3:H3"/>
    <mergeCell ref="B4:H4"/>
    <mergeCell ref="B5:H5"/>
    <mergeCell ref="B6:H6"/>
    <mergeCell ref="B10:H10"/>
    <mergeCell ref="B15:H15"/>
    <mergeCell ref="B19:H19"/>
    <mergeCell ref="B24:H24"/>
    <mergeCell ref="B28:H28"/>
    <mergeCell ref="B33:H33"/>
    <mergeCell ref="B34:H34"/>
    <mergeCell ref="B35:H35"/>
    <mergeCell ref="B36:H36"/>
    <mergeCell ref="A7:A9"/>
    <mergeCell ref="A11:A14"/>
    <mergeCell ref="A16:A18"/>
    <mergeCell ref="A20:A23"/>
    <mergeCell ref="A25:A27"/>
    <mergeCell ref="A29:A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6" workbookViewId="0">
      <selection activeCell="K8" sqref="K8"/>
    </sheetView>
  </sheetViews>
  <sheetFormatPr defaultColWidth="9" defaultRowHeight="13.5" outlineLevelCol="7"/>
  <cols>
    <col min="1" max="1" width="13.2666666666667" customWidth="1"/>
    <col min="2" max="2" width="11.1333333333333" customWidth="1"/>
    <col min="3" max="8" width="8.53333333333333" customWidth="1"/>
  </cols>
  <sheetData>
    <row r="1" ht="20.25" spans="1:8">
      <c r="A1" s="9" t="s">
        <v>206</v>
      </c>
      <c r="B1" s="9"/>
      <c r="C1" s="9"/>
      <c r="D1" s="9"/>
      <c r="E1" s="9"/>
      <c r="F1" s="9"/>
      <c r="G1" s="9"/>
      <c r="H1" s="9"/>
    </row>
    <row r="2" spans="1:8">
      <c r="A2" s="10" t="s">
        <v>116</v>
      </c>
      <c r="B2" s="10"/>
      <c r="C2" s="19" t="s">
        <v>207</v>
      </c>
      <c r="D2" s="19"/>
      <c r="E2" s="19"/>
      <c r="F2" s="19"/>
      <c r="G2" s="19"/>
      <c r="H2" s="19"/>
    </row>
    <row r="3" spans="1:8">
      <c r="A3" s="10" t="s">
        <v>120</v>
      </c>
      <c r="B3" s="10"/>
      <c r="C3" s="19" t="s">
        <v>208</v>
      </c>
      <c r="D3" s="19"/>
      <c r="E3" s="19"/>
      <c r="F3" s="19"/>
      <c r="G3" s="19"/>
      <c r="H3" s="19"/>
    </row>
    <row r="4" spans="1:8">
      <c r="A4" s="10" t="s">
        <v>209</v>
      </c>
      <c r="B4" s="10"/>
      <c r="C4" s="19" t="s">
        <v>210</v>
      </c>
      <c r="D4" s="19"/>
      <c r="E4" s="19"/>
      <c r="F4" s="19"/>
      <c r="G4" s="19"/>
      <c r="H4" s="19"/>
    </row>
    <row r="5" spans="1:8">
      <c r="A5" s="10" t="s">
        <v>211</v>
      </c>
      <c r="B5" s="10"/>
      <c r="C5" s="19" t="s">
        <v>212</v>
      </c>
      <c r="D5" s="19"/>
      <c r="E5" s="19"/>
      <c r="F5" s="19"/>
      <c r="G5" s="19"/>
      <c r="H5" s="19"/>
    </row>
    <row r="6" spans="1:8">
      <c r="A6" s="10" t="s">
        <v>213</v>
      </c>
      <c r="B6" s="10"/>
      <c r="C6" s="19" t="s">
        <v>214</v>
      </c>
      <c r="D6" s="19"/>
      <c r="E6" s="19"/>
      <c r="F6" s="19"/>
      <c r="G6" s="19"/>
      <c r="H6" s="19"/>
    </row>
    <row r="7" spans="1:8">
      <c r="A7" s="10" t="s">
        <v>215</v>
      </c>
      <c r="B7" s="10"/>
      <c r="C7" s="19" t="s">
        <v>216</v>
      </c>
      <c r="D7" s="19"/>
      <c r="E7" s="19"/>
      <c r="F7" s="19"/>
      <c r="G7" s="19"/>
      <c r="H7" s="19"/>
    </row>
    <row r="8" ht="25.5" spans="1:8">
      <c r="A8" s="10" t="s">
        <v>188</v>
      </c>
      <c r="B8" s="10" t="s">
        <v>189</v>
      </c>
      <c r="C8" s="10" t="s">
        <v>190</v>
      </c>
      <c r="D8" s="10" t="s">
        <v>191</v>
      </c>
      <c r="E8" s="10" t="s">
        <v>192</v>
      </c>
      <c r="F8" s="10" t="s">
        <v>130</v>
      </c>
      <c r="G8" s="10" t="s">
        <v>131</v>
      </c>
      <c r="H8" s="10" t="s">
        <v>132</v>
      </c>
    </row>
    <row r="9" spans="1:8">
      <c r="A9" s="10"/>
      <c r="B9" s="11" t="s">
        <v>193</v>
      </c>
      <c r="C9" s="20"/>
      <c r="D9" s="11"/>
      <c r="E9" s="20"/>
      <c r="F9" s="11"/>
      <c r="G9" s="11"/>
      <c r="H9" s="11"/>
    </row>
    <row r="10" spans="1:8">
      <c r="A10" s="10"/>
      <c r="B10" s="11"/>
      <c r="C10" s="20"/>
      <c r="D10" s="11"/>
      <c r="E10" s="20"/>
      <c r="F10" s="11"/>
      <c r="G10" s="11"/>
      <c r="H10" s="11"/>
    </row>
    <row r="11" ht="24" spans="1:8">
      <c r="A11" s="10" t="s">
        <v>194</v>
      </c>
      <c r="B11" s="11"/>
      <c r="C11" s="11"/>
      <c r="D11" s="11"/>
      <c r="E11" s="11"/>
      <c r="F11" s="11"/>
      <c r="G11" s="11"/>
      <c r="H11" s="11"/>
    </row>
    <row r="12" ht="24" spans="1:8">
      <c r="A12" s="10" t="s">
        <v>195</v>
      </c>
      <c r="B12" s="10" t="s">
        <v>184</v>
      </c>
      <c r="C12" s="10" t="s">
        <v>140</v>
      </c>
      <c r="D12" s="10" t="s">
        <v>141</v>
      </c>
      <c r="E12" s="10" t="s">
        <v>128</v>
      </c>
      <c r="F12" s="10" t="s">
        <v>130</v>
      </c>
      <c r="G12" s="10" t="s">
        <v>131</v>
      </c>
      <c r="H12" s="10" t="s">
        <v>132</v>
      </c>
    </row>
    <row r="13" spans="1:8">
      <c r="A13" s="10"/>
      <c r="B13" s="11" t="s">
        <v>185</v>
      </c>
      <c r="C13" s="11">
        <v>500</v>
      </c>
      <c r="D13" s="11">
        <v>36</v>
      </c>
      <c r="E13" s="11">
        <v>75</v>
      </c>
      <c r="F13" s="11"/>
      <c r="G13" s="11"/>
      <c r="H13" s="11"/>
    </row>
    <row r="14" spans="1:8">
      <c r="A14" s="10"/>
      <c r="B14" s="11" t="s">
        <v>186</v>
      </c>
      <c r="C14" s="20"/>
      <c r="D14" s="11"/>
      <c r="E14" s="20"/>
      <c r="F14" s="11"/>
      <c r="G14" s="21"/>
      <c r="H14" s="21"/>
    </row>
    <row r="15" ht="24" spans="1:8">
      <c r="A15" s="10" t="s">
        <v>187</v>
      </c>
      <c r="B15" s="11"/>
      <c r="C15" s="11"/>
      <c r="D15" s="11"/>
      <c r="E15" s="11"/>
      <c r="F15" s="11"/>
      <c r="G15" s="11"/>
      <c r="H15" s="11"/>
    </row>
    <row r="16" ht="24.75" spans="1:8">
      <c r="A16" s="10" t="s">
        <v>196</v>
      </c>
      <c r="B16" s="10" t="s">
        <v>197</v>
      </c>
      <c r="C16" s="10" t="s">
        <v>190</v>
      </c>
      <c r="D16" s="10" t="s">
        <v>198</v>
      </c>
      <c r="E16" s="10" t="s">
        <v>191</v>
      </c>
      <c r="F16" s="10" t="s">
        <v>130</v>
      </c>
      <c r="G16" s="10" t="s">
        <v>131</v>
      </c>
      <c r="H16" s="10" t="s">
        <v>132</v>
      </c>
    </row>
    <row r="17" spans="1:8">
      <c r="A17" s="10"/>
      <c r="B17" s="11" t="s">
        <v>199</v>
      </c>
      <c r="C17" s="20"/>
      <c r="D17" s="11"/>
      <c r="E17" s="20"/>
      <c r="F17" s="11"/>
      <c r="G17" s="11"/>
      <c r="H17" s="11"/>
    </row>
    <row r="18" spans="1:8">
      <c r="A18" s="10"/>
      <c r="B18" s="11"/>
      <c r="C18" s="20"/>
      <c r="D18" s="11"/>
      <c r="E18" s="20"/>
      <c r="F18" s="11"/>
      <c r="G18" s="11"/>
      <c r="H18" s="11"/>
    </row>
    <row r="19" ht="24" spans="1:8">
      <c r="A19" s="10" t="s">
        <v>200</v>
      </c>
      <c r="B19" s="11"/>
      <c r="C19" s="11"/>
      <c r="D19" s="11"/>
      <c r="E19" s="11"/>
      <c r="F19" s="11"/>
      <c r="G19" s="11"/>
      <c r="H19" s="11"/>
    </row>
    <row r="20" ht="24" spans="1:8">
      <c r="A20" s="10" t="s">
        <v>201</v>
      </c>
      <c r="B20" s="10" t="s">
        <v>184</v>
      </c>
      <c r="C20" s="10" t="s">
        <v>140</v>
      </c>
      <c r="D20" s="10" t="s">
        <v>141</v>
      </c>
      <c r="E20" s="10" t="s">
        <v>128</v>
      </c>
      <c r="F20" s="10" t="s">
        <v>130</v>
      </c>
      <c r="G20" s="10" t="s">
        <v>131</v>
      </c>
      <c r="H20" s="10" t="s">
        <v>132</v>
      </c>
    </row>
    <row r="21" spans="1:8">
      <c r="A21" s="10"/>
      <c r="B21" s="11" t="s">
        <v>185</v>
      </c>
      <c r="C21" s="11">
        <v>500</v>
      </c>
      <c r="D21" s="11">
        <v>36</v>
      </c>
      <c r="E21" s="11">
        <v>75</v>
      </c>
      <c r="F21" s="11"/>
      <c r="G21" s="11"/>
      <c r="H21" s="11"/>
    </row>
    <row r="22" spans="1:8">
      <c r="A22" s="10"/>
      <c r="B22" s="11"/>
      <c r="C22" s="20"/>
      <c r="D22" s="11"/>
      <c r="E22" s="20"/>
      <c r="F22" s="11"/>
      <c r="G22" s="21"/>
      <c r="H22" s="21"/>
    </row>
    <row r="23" spans="1:8">
      <c r="A23" s="10"/>
      <c r="B23" s="11"/>
      <c r="C23" s="20"/>
      <c r="D23" s="11"/>
      <c r="E23" s="20"/>
      <c r="F23" s="11"/>
      <c r="G23" s="21"/>
      <c r="H23" s="21"/>
    </row>
    <row r="24" ht="24" spans="1:8">
      <c r="A24" s="10" t="s">
        <v>187</v>
      </c>
      <c r="B24" s="22"/>
      <c r="C24" s="23"/>
      <c r="D24" s="23"/>
      <c r="E24" s="23"/>
      <c r="F24" s="23"/>
      <c r="G24" s="23"/>
      <c r="H24" s="24"/>
    </row>
    <row r="25" spans="1:8">
      <c r="A25" s="10" t="s">
        <v>217</v>
      </c>
      <c r="B25" s="10"/>
      <c r="C25" s="25" t="s">
        <v>218</v>
      </c>
      <c r="D25" s="26"/>
      <c r="E25" s="26"/>
      <c r="F25" s="26"/>
      <c r="G25" s="26"/>
      <c r="H25" s="27"/>
    </row>
    <row r="26" ht="39" customHeight="1" spans="1:8">
      <c r="A26" s="10" t="s">
        <v>162</v>
      </c>
      <c r="B26" s="10"/>
      <c r="C26" s="28" t="s">
        <v>202</v>
      </c>
      <c r="D26" s="29"/>
      <c r="E26" s="29"/>
      <c r="F26" s="29"/>
      <c r="G26" s="29"/>
      <c r="H26" s="30"/>
    </row>
    <row r="27" ht="37.05" customHeight="1" spans="1:8">
      <c r="A27" s="10" t="s">
        <v>219</v>
      </c>
      <c r="B27" s="10"/>
      <c r="C27" s="28" t="s">
        <v>220</v>
      </c>
      <c r="D27" s="29"/>
      <c r="E27" s="29"/>
      <c r="F27" s="29"/>
      <c r="G27" s="29"/>
      <c r="H27" s="30"/>
    </row>
    <row r="28" ht="41" customHeight="1" spans="1:8">
      <c r="A28" s="10" t="s">
        <v>221</v>
      </c>
      <c r="B28" s="10"/>
      <c r="C28" s="28" t="s">
        <v>165</v>
      </c>
      <c r="D28" s="29"/>
      <c r="E28" s="29"/>
      <c r="F28" s="29"/>
      <c r="G28" s="29"/>
      <c r="H28" s="30"/>
    </row>
    <row r="29" spans="1:8">
      <c r="A29" s="10" t="s">
        <v>203</v>
      </c>
      <c r="B29" s="10"/>
      <c r="C29" s="31"/>
      <c r="D29" s="32"/>
      <c r="E29" s="32"/>
      <c r="F29" s="32"/>
      <c r="G29" s="32"/>
      <c r="H29" s="33"/>
    </row>
    <row r="30" spans="1:8">
      <c r="A30" s="14" t="s">
        <v>170</v>
      </c>
    </row>
  </sheetData>
  <mergeCells count="31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B11:H11"/>
    <mergeCell ref="B15:H15"/>
    <mergeCell ref="B19:H19"/>
    <mergeCell ref="B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8:A10"/>
    <mergeCell ref="A12:A14"/>
    <mergeCell ref="A16:A18"/>
    <mergeCell ref="A20:A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D30" sqref="D30"/>
    </sheetView>
  </sheetViews>
  <sheetFormatPr defaultColWidth="9" defaultRowHeight="13.5" outlineLevelCol="5"/>
  <cols>
    <col min="1" max="1" width="22.1333333333333" customWidth="1"/>
    <col min="2" max="3" width="11.1333333333333" customWidth="1"/>
    <col min="4" max="4" width="11.4666666666667" customWidth="1"/>
    <col min="5" max="5" width="11.5333333333333" customWidth="1"/>
    <col min="6" max="6" width="13.2" customWidth="1"/>
    <col min="7" max="8" width="8.53333333333333" customWidth="1"/>
  </cols>
  <sheetData>
    <row r="1" ht="25.5" spans="1:6">
      <c r="A1" s="15" t="s">
        <v>222</v>
      </c>
      <c r="B1" s="16" t="s">
        <v>223</v>
      </c>
      <c r="C1" s="16" t="s">
        <v>224</v>
      </c>
      <c r="D1" s="16" t="s">
        <v>225</v>
      </c>
      <c r="E1" s="17" t="s">
        <v>226</v>
      </c>
      <c r="F1" s="18" t="s">
        <v>227</v>
      </c>
    </row>
    <row r="2" spans="1:6">
      <c r="A2" s="6"/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>
      <c r="A4" s="6"/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H19" sqref="H19"/>
    </sheetView>
  </sheetViews>
  <sheetFormatPr defaultColWidth="9" defaultRowHeight="13.5" outlineLevelCol="1"/>
  <cols>
    <col min="1" max="1" width="14.6" customWidth="1"/>
    <col min="2" max="2" width="46.4666666666667" customWidth="1"/>
  </cols>
  <sheetData>
    <row r="1" ht="20.25" spans="1:2">
      <c r="A1" s="9" t="s">
        <v>228</v>
      </c>
      <c r="B1" s="9"/>
    </row>
    <row r="2" spans="1:2">
      <c r="A2" s="10" t="s">
        <v>116</v>
      </c>
      <c r="B2" s="11" t="s">
        <v>229</v>
      </c>
    </row>
    <row r="3" spans="1:2">
      <c r="A3" s="10" t="s">
        <v>120</v>
      </c>
      <c r="B3" s="11" t="s">
        <v>230</v>
      </c>
    </row>
    <row r="4" spans="1:2">
      <c r="A4" s="10" t="s">
        <v>231</v>
      </c>
      <c r="B4" s="11" t="s">
        <v>232</v>
      </c>
    </row>
    <row r="5" spans="1:2">
      <c r="A5" s="10" t="s">
        <v>233</v>
      </c>
      <c r="B5" s="11" t="s">
        <v>234</v>
      </c>
    </row>
    <row r="6" spans="1:2">
      <c r="A6" s="10" t="s">
        <v>235</v>
      </c>
      <c r="B6" s="11" t="s">
        <v>236</v>
      </c>
    </row>
    <row r="7" ht="48" spans="1:2">
      <c r="A7" s="10" t="s">
        <v>237</v>
      </c>
      <c r="B7" s="12" t="s">
        <v>238</v>
      </c>
    </row>
    <row r="8" ht="60" spans="1:2">
      <c r="A8" s="10" t="s">
        <v>239</v>
      </c>
      <c r="B8" s="12" t="s">
        <v>240</v>
      </c>
    </row>
    <row r="9" ht="56" customHeight="1" spans="1:2">
      <c r="A9" s="10" t="s">
        <v>241</v>
      </c>
      <c r="B9" s="13"/>
    </row>
    <row r="10" spans="1:2">
      <c r="A10" s="14" t="s">
        <v>170</v>
      </c>
    </row>
  </sheetData>
  <mergeCells count="1">
    <mergeCell ref="A1:B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5"/>
    </sheetView>
  </sheetViews>
  <sheetFormatPr defaultColWidth="9" defaultRowHeight="13.5" outlineLevelRow="5" outlineLevelCol="1"/>
  <cols>
    <col min="1" max="1" width="25.8" customWidth="1"/>
    <col min="2" max="2" width="75.3333333333333" customWidth="1"/>
  </cols>
  <sheetData>
    <row r="1" ht="32" customHeight="1" spans="1:2">
      <c r="A1" s="3" t="s">
        <v>242</v>
      </c>
      <c r="B1" s="8" t="s">
        <v>243</v>
      </c>
    </row>
    <row r="2" ht="38" customHeight="1" spans="1:2">
      <c r="A2" s="3" t="s">
        <v>244</v>
      </c>
      <c r="B2" s="8" t="s">
        <v>245</v>
      </c>
    </row>
    <row r="3" ht="45" customHeight="1" spans="1:2">
      <c r="A3" s="3"/>
      <c r="B3" s="8" t="s">
        <v>246</v>
      </c>
    </row>
    <row r="4" spans="1:2">
      <c r="A4" s="3"/>
      <c r="B4" s="8" t="s">
        <v>247</v>
      </c>
    </row>
    <row r="5" spans="1:2">
      <c r="A5" s="3"/>
      <c r="B5" s="8" t="s">
        <v>248</v>
      </c>
    </row>
    <row r="6" spans="1:2">
      <c r="A6" s="6" t="s">
        <v>249</v>
      </c>
      <c r="B6" s="8" t="s">
        <v>250</v>
      </c>
    </row>
  </sheetData>
  <mergeCells count="1">
    <mergeCell ref="A2:A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3" sqref="D3"/>
    </sheetView>
  </sheetViews>
  <sheetFormatPr defaultColWidth="8.86666666666667" defaultRowHeight="13.5" outlineLevelRow="2" outlineLevelCol="1"/>
  <cols>
    <col min="1" max="1" width="29.5333333333333" customWidth="1"/>
    <col min="2" max="2" width="103.8" customWidth="1"/>
  </cols>
  <sheetData>
    <row r="1" ht="171" customHeight="1" spans="1:2">
      <c r="A1" s="6" t="s">
        <v>251</v>
      </c>
      <c r="B1" s="7" t="s">
        <v>252</v>
      </c>
    </row>
    <row r="2" ht="121.05" customHeight="1" spans="1:2">
      <c r="A2" s="6" t="s">
        <v>253</v>
      </c>
      <c r="B2" s="7" t="s">
        <v>254</v>
      </c>
    </row>
    <row r="3" ht="85.05" customHeight="1" spans="1:2">
      <c r="A3" s="6" t="s">
        <v>255</v>
      </c>
      <c r="B3" s="6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4" sqref="C14"/>
    </sheetView>
  </sheetViews>
  <sheetFormatPr defaultColWidth="9" defaultRowHeight="13.5" outlineLevelRow="6" outlineLevelCol="1"/>
  <cols>
    <col min="1" max="1" width="25.8" customWidth="1"/>
    <col min="2" max="2" width="75.3333333333333" customWidth="1"/>
  </cols>
  <sheetData>
    <row r="1" ht="32" customHeight="1" spans="1:2">
      <c r="A1" s="1" t="s">
        <v>256</v>
      </c>
      <c r="B1" s="2" t="s">
        <v>257</v>
      </c>
    </row>
    <row r="2" ht="38" customHeight="1" spans="1:2">
      <c r="A2" s="1" t="s">
        <v>258</v>
      </c>
      <c r="B2" s="2" t="s">
        <v>259</v>
      </c>
    </row>
    <row r="3" ht="45" customHeight="1" spans="1:2">
      <c r="A3" s="3"/>
      <c r="B3" s="2" t="s">
        <v>260</v>
      </c>
    </row>
    <row r="4" spans="1:2">
      <c r="A4" s="3"/>
      <c r="B4" s="2" t="s">
        <v>261</v>
      </c>
    </row>
    <row r="5" spans="1:2">
      <c r="A5" s="3"/>
      <c r="B5" s="2" t="s">
        <v>262</v>
      </c>
    </row>
    <row r="6" spans="1:2">
      <c r="A6" s="4" t="s">
        <v>249</v>
      </c>
      <c r="B6" s="2" t="s">
        <v>263</v>
      </c>
    </row>
    <row r="7" spans="1:2">
      <c r="A7" s="4" t="s">
        <v>264</v>
      </c>
      <c r="B7" s="5" t="s">
        <v>265</v>
      </c>
    </row>
  </sheetData>
  <mergeCells count="1">
    <mergeCell ref="A2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表1 院区及楼栋基本信息</vt:lpstr>
      <vt:lpstr>附表1  用能数据统计表样表</vt:lpstr>
      <vt:lpstr>表2-1空调系统冷源调研表</vt:lpstr>
      <vt:lpstr>表2-2空调系统热源调研表</vt:lpstr>
      <vt:lpstr>表2-4生活热水系统调研表</vt:lpstr>
      <vt:lpstr>表2-5电梯统计表</vt:lpstr>
      <vt:lpstr>表2-6 配电系统调研表</vt:lpstr>
      <vt:lpstr>表2-7 厨房设备调研表</vt:lpstr>
      <vt:lpstr>表2-8 其他情况调研表</vt:lpstr>
      <vt:lpstr>表2-9 给排水设备调研表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</dc:creator>
  <cp:lastModifiedBy>WPS_673069888</cp:lastModifiedBy>
  <dcterms:created xsi:type="dcterms:W3CDTF">2024-11-22T03:25:00Z</dcterms:created>
  <dcterms:modified xsi:type="dcterms:W3CDTF">2026-03-31T03:15:09Z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9C871FDF1A6A41C6AFE9B32A4B358228_13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